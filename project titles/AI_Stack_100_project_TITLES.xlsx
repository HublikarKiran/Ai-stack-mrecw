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VLM Projects" sheetId="2" state="visible" r:id="rId4"/>
  </sheets>
  <definedNames>
    <definedName function="false" hidden="true" localSheetId="1" name="_xlnm._FilterDatabase" vbProcedure="false">'VLM Projects'!$A$1:$AX$101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<sst xmlns="http://schemas.openxmlformats.org/spreadsheetml/2006/main" count="4610" uniqueCount="1854">
  <si>
    <t xml:space="preserve">VLM Industry Project Repository — Executive Summary</t>
  </si>
  <si>
    <t xml:space="preserve">100 industry-validated Vision Language Model project ideas across 25 industries</t>
  </si>
  <si>
    <t xml:space="preserve">Projects by Industry</t>
  </si>
  <si>
    <t xml:space="preserve">Projects by Difficulty Level</t>
  </si>
  <si>
    <t xml:space="preserve">Category</t>
  </si>
  <si>
    <t xml:space="preserve">Project Count</t>
  </si>
  <si>
    <t xml:space="preserve">Aerospace</t>
  </si>
  <si>
    <t xml:space="preserve">Beginner</t>
  </si>
  <si>
    <t xml:space="preserve">Agriculture</t>
  </si>
  <si>
    <t xml:space="preserve">Intermediate</t>
  </si>
  <si>
    <t xml:space="preserve">Automotive</t>
  </si>
  <si>
    <t xml:space="preserve">Advanced</t>
  </si>
  <si>
    <t xml:space="preserve">Banking &amp; Finance</t>
  </si>
  <si>
    <t xml:space="preserve">Enterprise/Research</t>
  </si>
  <si>
    <t xml:space="preserve">Construction</t>
  </si>
  <si>
    <t xml:space="preserve">Cybersecurity</t>
  </si>
  <si>
    <t xml:space="preserve">Total</t>
  </si>
  <si>
    <t xml:space="preserve">Defense</t>
  </si>
  <si>
    <t xml:space="preserve">Education</t>
  </si>
  <si>
    <t xml:space="preserve">Projects by Recommended VLM</t>
  </si>
  <si>
    <t xml:space="preserve">Energy &amp; Utilities</t>
  </si>
  <si>
    <t xml:space="preserve">Environmental &amp; Climate</t>
  </si>
  <si>
    <t xml:space="preserve">CLIP</t>
  </si>
  <si>
    <t xml:space="preserve">Government &amp; Public Sector</t>
  </si>
  <si>
    <t xml:space="preserve">Florence-2</t>
  </si>
  <si>
    <t xml:space="preserve">Healthcare</t>
  </si>
  <si>
    <t xml:space="preserve">GPT-4o</t>
  </si>
  <si>
    <t xml:space="preserve">Hospitality &amp; Travel</t>
  </si>
  <si>
    <t xml:space="preserve">Gemini</t>
  </si>
  <si>
    <t xml:space="preserve">Insurance</t>
  </si>
  <si>
    <t xml:space="preserve">Qwen2.5-VL</t>
  </si>
  <si>
    <t xml:space="preserve">Legal Tech</t>
  </si>
  <si>
    <t xml:space="preserve">Logistics &amp; Supply Chain</t>
  </si>
  <si>
    <t xml:space="preserve">Manufacturing</t>
  </si>
  <si>
    <t xml:space="preserve">Media &amp; Entertainment</t>
  </si>
  <si>
    <t xml:space="preserve">Projects by Resume Value Score</t>
  </si>
  <si>
    <t xml:space="preserve">Mining &amp; Natural Resources</t>
  </si>
  <si>
    <t xml:space="preserve">Real Estate</t>
  </si>
  <si>
    <t xml:space="preserve">Retail &amp; E-commerce</t>
  </si>
  <si>
    <t xml:space="preserve">Robotics</t>
  </si>
  <si>
    <t xml:space="preserve">Smart Cities</t>
  </si>
  <si>
    <t xml:space="preserve">Sports Analytics</t>
  </si>
  <si>
    <t xml:space="preserve">Telecommunications</t>
  </si>
  <si>
    <t xml:space="preserve">Projects by Startup Potential Score</t>
  </si>
  <si>
    <t xml:space="preserve">Average Score</t>
  </si>
  <si>
    <t xml:space="preserve">Projects by Enterprise Adoption Score</t>
  </si>
  <si>
    <t xml:space="preserve">Project ID</t>
  </si>
  <si>
    <t xml:space="preserve">Project Title</t>
  </si>
  <si>
    <t xml:space="preserve">Industry</t>
  </si>
  <si>
    <t xml:space="preserve">Industry Problem</t>
  </si>
  <si>
    <t xml:space="preserve">Existing Manual Process</t>
  </si>
  <si>
    <t xml:space="preserve">AI Opportunity</t>
  </si>
  <si>
    <t xml:space="preserve">Business Impact</t>
  </si>
  <si>
    <t xml:space="preserve">Difficulty Level</t>
  </si>
  <si>
    <t xml:space="preserve">Estimated Development Time</t>
  </si>
  <si>
    <t xml:space="preserve">Recommended VLM</t>
  </si>
  <si>
    <t xml:space="preserve">Alternative Models</t>
  </si>
  <si>
    <t xml:space="preserve">Why this model?</t>
  </si>
  <si>
    <t xml:space="preserve">Dataset Recommendation</t>
  </si>
  <si>
    <t xml:space="preserve">Dataset Source</t>
  </si>
  <si>
    <t xml:space="preserve">Data Type</t>
  </si>
  <si>
    <t xml:space="preserve">Expected Dataset Size</t>
  </si>
  <si>
    <t xml:space="preserve">Open Dataset Available? (Yes/No)</t>
  </si>
  <si>
    <t xml:space="preserve">APIs Required</t>
  </si>
  <si>
    <t xml:space="preserve">Hardware Requirement</t>
  </si>
  <si>
    <t xml:space="preserve">Cloud Deployment Option</t>
  </si>
  <si>
    <t xml:space="preserve">Tech Stack</t>
  </si>
  <si>
    <t xml:space="preserve">Frontend</t>
  </si>
  <si>
    <t xml:space="preserve">Backend</t>
  </si>
  <si>
    <t xml:space="preserve">Database</t>
  </si>
  <si>
    <t xml:space="preserve">Authentication</t>
  </si>
  <si>
    <t xml:space="preserve">AI Framework</t>
  </si>
  <si>
    <t xml:space="preserve">Vector Database</t>
  </si>
  <si>
    <t xml:space="preserve">RAG Required?</t>
  </si>
  <si>
    <t xml:space="preserve">Agentic AI Extension</t>
  </si>
  <si>
    <t xml:space="preserve">Multi-Agent Possibility</t>
  </si>
  <si>
    <t xml:space="preserve">OCR Required?</t>
  </si>
  <si>
    <t xml:space="preserve">Speech Required?</t>
  </si>
  <si>
    <t xml:space="preserve">Video Understanding?</t>
  </si>
  <si>
    <t xml:space="preserve">Image Generation?</t>
  </si>
  <si>
    <t xml:space="preserve">Report Generation?</t>
  </si>
  <si>
    <t xml:space="preserve">Dashboard Needed?</t>
  </si>
  <si>
    <t xml:space="preserve">User Roles</t>
  </si>
  <si>
    <t xml:space="preserve">Key Features</t>
  </si>
  <si>
    <t xml:space="preserve">Advanced Features</t>
  </si>
  <si>
    <t xml:space="preserve">Enterprise Features</t>
  </si>
  <si>
    <t xml:space="preserve">Security Considerations</t>
  </si>
  <si>
    <t xml:space="preserve">Compliance Requirements</t>
  </si>
  <si>
    <t xml:space="preserve">Evaluation Metrics</t>
  </si>
  <si>
    <t xml:space="preserve">Deployment Difficulty</t>
  </si>
  <si>
    <t xml:space="preserve">Resume Value (1-10)</t>
  </si>
  <si>
    <t xml:space="preserve">Interview Probability (1-10)</t>
  </si>
  <si>
    <t xml:space="preserve">Startup Potential (1-10)</t>
  </si>
  <si>
    <t xml:space="preserve">Enterprise Adoption (1-10)</t>
  </si>
  <si>
    <t xml:space="preserve">Research Potential (1-10)</t>
  </si>
  <si>
    <t xml:space="preserve">Monetization Strategy</t>
  </si>
  <si>
    <t xml:space="preserve">VLM-001</t>
  </si>
  <si>
    <t xml:space="preserve">MedScan Radiology Triage Copilot</t>
  </si>
  <si>
    <t xml:space="preserve">Radiologists face multi-hour backlogs reading X-rays/CTs, delaying critical diagnoses.</t>
  </si>
  <si>
    <t xml:space="preserve">Radiologists manually review every scan in FIFO order regardless of urgency.</t>
  </si>
  <si>
    <t xml:space="preserve">VLM flags critical findings (e.g., pneumothorax, hemorrhage) and re-prioritizes the reading queue in real time.</t>
  </si>
  <si>
    <t xml:space="preserve">Cuts time-to-diagnosis for critical cases from hours to minutes; reduces missed critical findings.</t>
  </si>
  <si>
    <t xml:space="preserve">2-4 weeks</t>
  </si>
  <si>
    <t xml:space="preserve">Florence-2, GPT-4o</t>
  </si>
  <si>
    <t xml:space="preserve">Best-in-class dense OCR and layout understanding for handwritten/printed clinical documents, with strong structured-field extraction.</t>
  </si>
  <si>
    <t xml:space="preserve">MIMIC-CXR + NIH ChestX-ray14</t>
  </si>
  <si>
    <t xml:space="preserve">PhysioNet / NIH Clinical Center</t>
  </si>
  <si>
    <t xml:space="preserve">Medical images + radiology reports</t>
  </si>
  <si>
    <t xml:space="preserve">~370K images</t>
  </si>
  <si>
    <t xml:space="preserve">Yes</t>
  </si>
  <si>
    <t xml:space="preserve">Qwen2.5-VL API, cloud storage API, domain system integration API</t>
  </si>
  <si>
    <t xml:space="preserve">Single GPU (e.g., NVIDIA T4/RTX 3060) or hosted API only</t>
  </si>
  <si>
    <t xml:space="preserve">AWS/GCP/Azure free-tier or serverless functions</t>
  </si>
  <si>
    <t xml:space="preserve">Python microservices + React frontend + containerized inference (Docker/Kubernetes)</t>
  </si>
  <si>
    <t xml:space="preserve">React + TypeScript (Tailwind CSS)</t>
  </si>
  <si>
    <t xml:space="preserve">FastAPI (Python)</t>
  </si>
  <si>
    <t xml:space="preserve">PostgreSQL + S3-compatible object storage</t>
  </si>
  <si>
    <t xml:space="preserve">OAuth2/JWT</t>
  </si>
  <si>
    <t xml:space="preserve">Hugging Face Transformers + LangChain</t>
  </si>
  <si>
    <t xml:space="preserve">Pinecone / Weaviate (embedding-based search index)</t>
  </si>
  <si>
    <t xml:space="preserve">Extend with an autonomous clinical-workflow agent that routes flagged cases, drafts follow-up orders, and schedules specialist review.</t>
  </si>
  <si>
    <t xml:space="preserve">No — single-agent pipeline is sufficient at current scope; multi-agent orchestration is a future extension.</t>
  </si>
  <si>
    <t xml:space="preserve">No</t>
  </si>
  <si>
    <t xml:space="preserve">Radiologist, Technologist, Hospital Admin, Referring Physician</t>
  </si>
  <si>
    <t xml:space="preserve">DICOM viewer, critical-finding flagging, auto-generated draft report, priority queue</t>
  </si>
  <si>
    <t xml:space="preserve">Longitudinal comparison to prior scans, uncertainty calibration, sub-specialist routing</t>
  </si>
  <si>
    <t xml:space="preserve">PACS/RIS integration, audit trail, multi-site federated learning, radiologist sign-off workflow</t>
  </si>
  <si>
    <t xml:space="preserve">PHI de-identification, encryption at rest/in transit, role-based clinical access control, audit logging</t>
  </si>
  <si>
    <t xml:space="preserve">HIPAA, FDA SaMD Class II, HL7/DICOM</t>
  </si>
  <si>
    <t xml:space="preserve">AUROC, sensitivity/specificity, report concordance (BLEU/ROUGE vs radiologist), turnaround time</t>
  </si>
  <si>
    <t xml:space="preserve">Low</t>
  </si>
  <si>
    <t xml:space="preserve">Per-scan SaaS licensing to hospital networks + enterprise PACS integration fee</t>
  </si>
  <si>
    <t xml:space="preserve">VLM-002</t>
  </si>
  <si>
    <t xml:space="preserve">Surgical Video Skill Assessment Platform</t>
  </si>
  <si>
    <t xml:space="preserve">Surgical training programs lack scalable, objective ways to assess trainee technique across thousands of recorded procedures.</t>
  </si>
  <si>
    <t xml:space="preserve">Attending surgeons manually review recorded footage and score trainees subjectively.</t>
  </si>
  <si>
    <t xml:space="preserve">VLM analyzes surgical video to score technique, detect critical errors, and generate structured feedback.</t>
  </si>
  <si>
    <t xml:space="preserve">Standardizes surgical competency assessment and shortens certification review cycles by 60%.</t>
  </si>
  <si>
    <t xml:space="preserve">GPT-4o, Qwen2.5-VL</t>
  </si>
  <si>
    <t xml:space="preserve">Native long-context multi-frame video reasoning lets it track temporal patterns across extended footage without heavy pre-processing.</t>
  </si>
  <si>
    <t xml:space="preserve">Cholec80 + JIGSAWS</t>
  </si>
  <si>
    <t xml:space="preserve">Public surgical video datasets</t>
  </si>
  <si>
    <t xml:space="preserve">Endoscopic/surgical video</t>
  </si>
  <si>
    <t xml:space="preserve">~150 hours video</t>
  </si>
  <si>
    <t xml:space="preserve">Gemini API, cloud storage API, domain system integration API</t>
  </si>
  <si>
    <t xml:space="preserve">N/A (real-time inference only)</t>
  </si>
  <si>
    <t xml:space="preserve">Extend with an agent that correlates detections across time/cameras, triggers automated alerts, and files incident reports without human initiation.</t>
  </si>
  <si>
    <t xml:space="preserve">Surgeon, Trainee, Program Director, Credentialing Board</t>
  </si>
  <si>
    <t xml:space="preserve">Frame-level instrument tracking, skill scoring rubric, timestamped feedback</t>
  </si>
  <si>
    <t xml:space="preserve">Phase recognition, complication risk prediction, peer benchmarking</t>
  </si>
  <si>
    <t xml:space="preserve">Credentialing board integration, multi-institution leaderboards, tamper-proof audit logs</t>
  </si>
  <si>
    <t xml:space="preserve">HIPAA, ACGME accreditation standards</t>
  </si>
  <si>
    <t xml:space="preserve">Inter-rater reliability vs expert scores, error-detection recall, F1 on phase segmentation</t>
  </si>
  <si>
    <t xml:space="preserve">Per-seat subscription to teaching hospitals + certification body licensing</t>
  </si>
  <si>
    <t xml:space="preserve">VLM-003</t>
  </si>
  <si>
    <t xml:space="preserve">Home-Care Wound Monitoring Assistant</t>
  </si>
  <si>
    <t xml:space="preserve">Chronic wound and post-surgical patients recovering at home lack consistent clinical monitoring, risking undetected infection.</t>
  </si>
  <si>
    <t xml:space="preserve">Patients or home-care nurses take phone photos and describe wounds verbally during infrequent visits.</t>
  </si>
  <si>
    <t xml:space="preserve">VLM analyzes patient-submitted wound photos for infection signs, healing trajectory, and escalation triggers.</t>
  </si>
  <si>
    <t xml:space="preserve">Reduces preventable ER readmissions from wound complications and cuts nurse home-visit load.</t>
  </si>
  <si>
    <t xml:space="preserve">1-2 months</t>
  </si>
  <si>
    <t xml:space="preserve">Gemini, Qwen2.5-VL</t>
  </si>
  <si>
    <t xml:space="preserve">Strong agentic function-calling and multimodal reasoning make it best suited to orchestrate multi-step, tool-using workflows.</t>
  </si>
  <si>
    <t xml:space="preserve">Custom wound image + clinician annotation set</t>
  </si>
  <si>
    <t xml:space="preserve">Partner dermatology/wound clinics</t>
  </si>
  <si>
    <t xml:space="preserve">Smartphone images + clinical notes</t>
  </si>
  <si>
    <t xml:space="preserve">~20K annotated images</t>
  </si>
  <si>
    <t xml:space="preserve">GPT-4o API, cloud storage API, domain system integration API</t>
  </si>
  <si>
    <t xml:space="preserve">Single A10/A100 GPU workstation</t>
  </si>
  <si>
    <t xml:space="preserve">AWS SageMaker / GCP Vertex AI / Azure ML (single-node)</t>
  </si>
  <si>
    <t xml:space="preserve">Extend into a fully autonomous multi-step agent that plans, executes, and verifies physical/digital tasks with minimal human supervision.</t>
  </si>
  <si>
    <t xml:space="preserve">Patient, Home-Care Nurse, Physician, Care Coordinator</t>
  </si>
  <si>
    <t xml:space="preserve">Photo capture guide, healing-stage classifier, infection risk score</t>
  </si>
  <si>
    <t xml:space="preserve">Longitudinal healing curve, personalized care plan generation, nurse triage chat</t>
  </si>
  <si>
    <t xml:space="preserve">EHR integration, remote monitoring billing codes, clinician dashboard with alerting</t>
  </si>
  <si>
    <t xml:space="preserve">HIPAA, RPM/CPT billing compliance</t>
  </si>
  <si>
    <t xml:space="preserve">Sensitivity for infection detection, healing-stage classification accuracy, alert precision</t>
  </si>
  <si>
    <t xml:space="preserve">Medium</t>
  </si>
  <si>
    <t xml:space="preserve">Remote Patient Monitoring (RPM) reimbursement billing + per-patient SaaS fee</t>
  </si>
  <si>
    <t xml:space="preserve">VLM-004</t>
  </si>
  <si>
    <t xml:space="preserve">Pharmacy Prescription Verification Vision System</t>
  </si>
  <si>
    <t xml:space="preserve">Pharmacists spend significant time manually cross-checking handwritten and printed prescriptions against pharmacy records, risking dispensing errors.</t>
  </si>
  <si>
    <t xml:space="preserve">Pharmacy staff manually read and key in prescription details, then double-check by hand.</t>
  </si>
  <si>
    <t xml:space="preserve">VLM reads handwritten/printed prescriptions, cross-verifies dosage against drug interaction databases, and flags anomalies.</t>
  </si>
  <si>
    <t xml:space="preserve">Reduces dispensing errors and manual data-entry time by a majority in high-volume pharmacies.</t>
  </si>
  <si>
    <t xml:space="preserve">Custom prescription image dataset</t>
  </si>
  <si>
    <t xml:space="preserve">Partner pharmacy chains + synthetic generation</t>
  </si>
  <si>
    <t xml:space="preserve">Scanned/photographed prescriptions</t>
  </si>
  <si>
    <t xml:space="preserve">~50K prescriptions</t>
  </si>
  <si>
    <t xml:space="preserve">Pharmacist, Pharmacy Technician, Compliance Officer</t>
  </si>
  <si>
    <t xml:space="preserve">Handwriting OCR, drug-name normalization, dosage sanity checks</t>
  </si>
  <si>
    <t xml:space="preserve">Drug interaction reasoning, insurance formulary matching, refill prediction</t>
  </si>
  <si>
    <t xml:space="preserve">Pharmacy management system integration, DEA compliance logging, tamper detection</t>
  </si>
  <si>
    <t xml:space="preserve">HIPAA, DEA regulations, FDA drug labeling standards</t>
  </si>
  <si>
    <t xml:space="preserve">Character/word error rate, drug-name accuracy, error-flag precision/recall</t>
  </si>
  <si>
    <t xml:space="preserve">Per-location SaaS fee to pharmacy chains + transaction-based pricing</t>
  </si>
  <si>
    <t xml:space="preserve">VLM-005</t>
  </si>
  <si>
    <t xml:space="preserve">Loan Document Fraud Detection Suite</t>
  </si>
  <si>
    <t xml:space="preserve">Banks lose billions annually to fraudulent loan applications using forged pay stubs, bank statements, and IDs.</t>
  </si>
  <si>
    <t xml:space="preserve">Underwriters manually eyeball scanned documents for inconsistencies and font mismatches.</t>
  </si>
  <si>
    <t xml:space="preserve">VLM cross-validates document layout, font consistency, and embedded metadata to flag forged financial documents.</t>
  </si>
  <si>
    <t xml:space="preserve">Reduces fraud losses and manual underwriting review time significantly across loan portfolios.</t>
  </si>
  <si>
    <t xml:space="preserve">3-5 months</t>
  </si>
  <si>
    <t xml:space="preserve">Superior document-grounding and table/field extraction accuracy needed for financial/legal/regulatory documents.</t>
  </si>
  <si>
    <t xml:space="preserve">Custom synthetic + real forged document corpus</t>
  </si>
  <si>
    <t xml:space="preserve">Partner banks + synthetic forgery generation</t>
  </si>
  <si>
    <t xml:space="preserve">Scanned financial documents</t>
  </si>
  <si>
    <t xml:space="preserve">~80K documents</t>
  </si>
  <si>
    <t xml:space="preserve">Qwen2.5-VL API, cloud storage API, payment/ERP integration API</t>
  </si>
  <si>
    <t xml:space="preserve">Multi-GPU cluster (A100/H100) for fine-tuning + low-latency inference</t>
  </si>
  <si>
    <t xml:space="preserve">AWS/GCP/Azure Kubernetes-based multi-region deployment</t>
  </si>
  <si>
    <t xml:space="preserve">FastAPI (Python) + microservices with message queue (Kafka/RabbitMQ)</t>
  </si>
  <si>
    <t xml:space="preserve">SSO/SAML + RBAC + OAuth2</t>
  </si>
  <si>
    <t xml:space="preserve">Hugging Face Transformers + LangChain/LlamaIndex + Ray/Kubeflow for scaling</t>
  </si>
  <si>
    <t xml:space="preserve">Extend with an autonomous compliance agent that files exceptions, requests missing documents, and escalates high-risk cases automatically.</t>
  </si>
  <si>
    <t xml:space="preserve">Yes — specialist sub-agents (extraction, verification, routing) can coordinate via an orchestrator agent.</t>
  </si>
  <si>
    <t xml:space="preserve">Underwriter, Fraud Analyst, Compliance Officer, Loan Applicant</t>
  </si>
  <si>
    <t xml:space="preserve">Document authenticity scoring, field extraction, tamper heatmap</t>
  </si>
  <si>
    <t xml:space="preserve">Cross-document consistency graph, applicant history correlation, explainable fraud reasoning</t>
  </si>
  <si>
    <t xml:space="preserve">Core banking integration, SOC2 audit logging, regulator-ready explainability reports</t>
  </si>
  <si>
    <t xml:space="preserve">PCI-DSS scope minimization, encryption at rest/in transit, role-based access control, immutable audit trail</t>
  </si>
  <si>
    <t xml:space="preserve">SOX, GLBA, FCRA, AML/KYC regulations</t>
  </si>
  <si>
    <t xml:space="preserve">Precision/recall on labeled fraud set, false-positive rate, review-time reduction</t>
  </si>
  <si>
    <t xml:space="preserve">High</t>
  </si>
  <si>
    <t xml:space="preserve">Per-transaction pricing to banks + enterprise annual license</t>
  </si>
  <si>
    <t xml:space="preserve">VLM-006</t>
  </si>
  <si>
    <t xml:space="preserve">Check &amp; Remittance Image Processing Engine</t>
  </si>
  <si>
    <t xml:space="preserve">Regional banks still process large volumes of paper checks and remittance slips requiring manual data entry.</t>
  </si>
  <si>
    <t xml:space="preserve">Back-office staff manually key in amounts, account numbers, and MICR data from scanned checks.</t>
  </si>
  <si>
    <t xml:space="preserve">VLM extracts MICR line, courtesy/legal amount, and signature presence with cross-field validation.</t>
  </si>
  <si>
    <t xml:space="preserve">Cuts check-processing labor costs and same-day clearing errors substantially.</t>
  </si>
  <si>
    <t xml:space="preserve">CROHME + custom check scans</t>
  </si>
  <si>
    <t xml:space="preserve">Public handwriting datasets + bank partners</t>
  </si>
  <si>
    <t xml:space="preserve">Scanned checks/remittance slips</t>
  </si>
  <si>
    <t xml:space="preserve">~100K check images</t>
  </si>
  <si>
    <t xml:space="preserve">Partial</t>
  </si>
  <si>
    <t xml:space="preserve">Bank Teller, Back-Office Clerk, Compliance Officer</t>
  </si>
  <si>
    <t xml:space="preserve">MICR extraction, amount reconciliation, signature verification</t>
  </si>
  <si>
    <t xml:space="preserve">Courtesy/legal amount mismatch resolution, duplicate check detection</t>
  </si>
  <si>
    <t xml:space="preserve">Core banking API integration, Reg CC compliance logging, multi-bank clearinghouse support</t>
  </si>
  <si>
    <t xml:space="preserve">Reg CC, Check 21 Act, SOX</t>
  </si>
  <si>
    <t xml:space="preserve">Field extraction accuracy, amount-match rate, exception-handling turnaround</t>
  </si>
  <si>
    <t xml:space="preserve">Per-item processing fee to regional/community banks</t>
  </si>
  <si>
    <t xml:space="preserve">VLM-007</t>
  </si>
  <si>
    <t xml:space="preserve">Trading Floor Multi-Screen Compliance Monitor</t>
  </si>
  <si>
    <t xml:space="preserve">Compliance teams struggle to detect risky trader behavior (e.g., unauthorized screens, phone use) across large trading floors.</t>
  </si>
  <si>
    <t xml:space="preserve">Compliance officers do periodic manual walk-throughs and spot-check camera footage.</t>
  </si>
  <si>
    <t xml:space="preserve">VLM analyzes desk camera feeds to detect policy violations like unauthorized devices or screen-sharing.</t>
  </si>
  <si>
    <t xml:space="preserve">Reduces regulatory violation incidents and manual surveillance labor on trading floors.</t>
  </si>
  <si>
    <t xml:space="preserve">Custom trading-floor surveillance footage</t>
  </si>
  <si>
    <t xml:space="preserve">Partner investment banks (privacy-controlled)</t>
  </si>
  <si>
    <t xml:space="preserve">CCTV video</t>
  </si>
  <si>
    <t xml:space="preserve">~5K hours video</t>
  </si>
  <si>
    <t xml:space="preserve">Gemini API, cloud storage API, payment/ERP integration API</t>
  </si>
  <si>
    <t xml:space="preserve">Compliance Officer, Trader, Risk Manager</t>
  </si>
  <si>
    <t xml:space="preserve">Object/device detection, policy-violation alerting, incident logging</t>
  </si>
  <si>
    <t xml:space="preserve">Behavioral anomaly detection, cross-camera person tracking, risk scoring</t>
  </si>
  <si>
    <t xml:space="preserve">SIEM integration, regulator audit export, privacy-preserving on-prem deployment</t>
  </si>
  <si>
    <t xml:space="preserve">MiFID II, SEC/FINRA surveillance rules, employee privacy law</t>
  </si>
  <si>
    <t xml:space="preserve">Detection precision/recall, false-alarm rate, incident resolution time</t>
  </si>
  <si>
    <t xml:space="preserve">Enterprise annual license to investment banks and trading firms</t>
  </si>
  <si>
    <t xml:space="preserve">VLM-008</t>
  </si>
  <si>
    <t xml:space="preserve">Invoice-to-Ledger Reconciliation Copilot</t>
  </si>
  <si>
    <t xml:space="preserve">Corporate finance teams spend excessive hours manually matching vendor invoices to purchase orders and ledger entries.</t>
  </si>
  <si>
    <t xml:space="preserve">AP clerks manually compare invoice PDFs/images against ERP purchase order records line by line.</t>
  </si>
  <si>
    <t xml:space="preserve">VLM reads invoices, matches line items to POs, and auto-flags discrepancies for approval routing.</t>
  </si>
  <si>
    <t xml:space="preserve">Speeds up close cycles and cuts manual reconciliation effort dramatically.</t>
  </si>
  <si>
    <t xml:space="preserve">6-12+ months</t>
  </si>
  <si>
    <t xml:space="preserve">SROIE + custom invoice corpus</t>
  </si>
  <si>
    <t xml:space="preserve">SROIE (ICDAR) + enterprise partners</t>
  </si>
  <si>
    <t xml:space="preserve">Scanned/PDF invoices</t>
  </si>
  <si>
    <t xml:space="preserve">~40K invoices</t>
  </si>
  <si>
    <t xml:space="preserve">Multi-node H100 cluster with on-prem/edge hybrid, redundant failover infrastructure</t>
  </si>
  <si>
    <t xml:space="preserve">Enterprise private cloud / hybrid on-prem with data-residency controls</t>
  </si>
  <si>
    <t xml:space="preserve">React + TypeScript (Tailwind CSS) with role-based enterprise UI</t>
  </si>
  <si>
    <t xml:space="preserve">AP Clerk, Controller, Vendor, Auditor</t>
  </si>
  <si>
    <t xml:space="preserve">Line-item extraction, PO matching, discrepancy flagging</t>
  </si>
  <si>
    <t xml:space="preserve">Multi-currency normalization, vendor risk scoring, duplicate invoice detection</t>
  </si>
  <si>
    <t xml:space="preserve">ERP (SAP/Oracle) integration, SOX-compliant audit trail, approval workflow engine</t>
  </si>
  <si>
    <t xml:space="preserve">SOX, IFRS/GAAP reporting standards</t>
  </si>
  <si>
    <t xml:space="preserve">Field extraction F1, matching accuracy, days-to-close reduction</t>
  </si>
  <si>
    <t xml:space="preserve">Very High</t>
  </si>
  <si>
    <t xml:space="preserve">Per-invoice processing fee + tiered enterprise ERP add-on</t>
  </si>
  <si>
    <t xml:space="preserve">VLM-009</t>
  </si>
  <si>
    <t xml:space="preserve">Auto Claims Damage Estimator</t>
  </si>
  <si>
    <t xml:space="preserve">Insurers face slow, inconsistent manual vehicle damage assessments that delay claim payouts and invite disputes.</t>
  </si>
  <si>
    <t xml:space="preserve">Adjusters physically inspect vehicles or review photos manually to estimate repair costs.</t>
  </si>
  <si>
    <t xml:space="preserve">VLM analyzes uploaded vehicle photos to identify damage location/severity and estimate repair cost ranges.</t>
  </si>
  <si>
    <t xml:space="preserve">Shortens claim cycle time from days to minutes and reduces adjuster travel costs.</t>
  </si>
  <si>
    <t xml:space="preserve">CarDD + custom claim photo set</t>
  </si>
  <si>
    <t xml:space="preserve">CarDD dataset + insurer partners</t>
  </si>
  <si>
    <t xml:space="preserve">Smartphone vehicle photos</t>
  </si>
  <si>
    <t xml:space="preserve">~15K annotated images</t>
  </si>
  <si>
    <t xml:space="preserve">Policyholder, Claims Adjuster, Repair Shop, Fraud Investigator</t>
  </si>
  <si>
    <t xml:space="preserve">Damage localization, severity scoring, cost estimate generator</t>
  </si>
  <si>
    <t xml:space="preserve">Multi-angle 3D damage reconstruction, prior-claim fraud cross-check</t>
  </si>
  <si>
    <t xml:space="preserve">Claims management system integration, adjuster override workflow, state DOI reporting</t>
  </si>
  <si>
    <t xml:space="preserve">PII protection, encryption at rest/in transit, role-based access control, tamper-evident audit logging</t>
  </si>
  <si>
    <t xml:space="preserve">State insurance DOI regulations, NAIC model laws</t>
  </si>
  <si>
    <t xml:space="preserve">Damage-severity classification accuracy, cost-estimate MAE vs actual repair invoice</t>
  </si>
  <si>
    <t xml:space="preserve">Per-claim processing fee licensed to insurance carriers</t>
  </si>
  <si>
    <t xml:space="preserve">VLM-010</t>
  </si>
  <si>
    <t xml:space="preserve">Property Inspection Risk Scoring Platform</t>
  </si>
  <si>
    <t xml:space="preserve">Underwriters cannot economically inspect every property for roof condition, fire hazards, or code violations before issuing policies.</t>
  </si>
  <si>
    <t xml:space="preserve">Human inspectors visit properties or review drone/satellite photos manually to assess risk.</t>
  </si>
  <si>
    <t xml:space="preserve">VLM analyzes aerial/satellite and drone imagery to detect roof damage, vegetation risk, and structural hazards.</t>
  </si>
  <si>
    <t xml:space="preserve">Enables risk-based underwriting at scale and reduces inspection costs for insurers.</t>
  </si>
  <si>
    <t xml:space="preserve">xBD building damage dataset + aerial imagery</t>
  </si>
  <si>
    <t xml:space="preserve">xBD (public) + satellite providers</t>
  </si>
  <si>
    <t xml:space="preserve">Satellite/aerial/drone imagery</t>
  </si>
  <si>
    <t xml:space="preserve">~30K property images</t>
  </si>
  <si>
    <t xml:space="preserve">Underwriter, Actuary, Property Owner, Reinsurer</t>
  </si>
  <si>
    <t xml:space="preserve">Roof-condition classifier, hazard detection, risk score generation</t>
  </si>
  <si>
    <t xml:space="preserve">Change detection over time, wildfire/flood exposure modeling</t>
  </si>
  <si>
    <t xml:space="preserve">GIS integration, state regulatory rate-filing support, reinsurer reporting</t>
  </si>
  <si>
    <t xml:space="preserve">State insurance regulations, fair-housing/non-discrimination law</t>
  </si>
  <si>
    <t xml:space="preserve">Hazard detection precision/recall, risk-score correlation with actual claims</t>
  </si>
  <si>
    <t xml:space="preserve">Per-property risk report fee + underwriting API subscription</t>
  </si>
  <si>
    <t xml:space="preserve">VLM-011</t>
  </si>
  <si>
    <t xml:space="preserve">Health Insurance Prior-Authorization Document Reader</t>
  </si>
  <si>
    <t xml:space="preserve">Health insurers face huge backlogs manually reviewing clinical documents to approve or deny prior-authorization requests.</t>
  </si>
  <si>
    <t xml:space="preserve">Nurses/reviewers manually read faxed clinical notes and match against coverage criteria.</t>
  </si>
  <si>
    <t xml:space="preserve">VLM extracts clinical data from faxed/scanned documents and matches against payer policy criteria automatically.</t>
  </si>
  <si>
    <t xml:space="preserve">Cuts prior-auth turnaround from days to hours, improving patient care access.</t>
  </si>
  <si>
    <t xml:space="preserve">Custom clinical fax/document corpus</t>
  </si>
  <si>
    <t xml:space="preserve">Partner payers (de-identified)</t>
  </si>
  <si>
    <t xml:space="preserve">Faxed/scanned clinical documents</t>
  </si>
  <si>
    <t xml:space="preserve">~60K documents</t>
  </si>
  <si>
    <t xml:space="preserve">Utilization Reviewer, Physician, Patient, Compliance Officer</t>
  </si>
  <si>
    <t xml:space="preserve">Clinical entity extraction, policy criteria matcher, auto-approve/deny recommendation</t>
  </si>
  <si>
    <t xml:space="preserve">Explainable denial reasoning, appeals-letter drafting assistant</t>
  </si>
  <si>
    <t xml:space="preserve">Payer core system integration, HIPAA audit logging, appeals workflow</t>
  </si>
  <si>
    <t xml:space="preserve">HIPAA, ACA prior-authorization regulations, state insurance law</t>
  </si>
  <si>
    <t xml:space="preserve">Auto-decision accuracy vs human reviewer, turnaround-time reduction, appeal-overturn rate</t>
  </si>
  <si>
    <t xml:space="preserve">Per-request processing fee to health payers</t>
  </si>
  <si>
    <t xml:space="preserve">VLM-012</t>
  </si>
  <si>
    <t xml:space="preserve">Catastrophe Response Aerial Damage Mapper</t>
  </si>
  <si>
    <t xml:space="preserve">After hurricanes/wildfires, insurers cannot rapidly assess widespread property damage across thousands of claims simultaneously.</t>
  </si>
  <si>
    <t xml:space="preserve">Adjusters are dispatched region by region over weeks to visually assess damage.</t>
  </si>
  <si>
    <t xml:space="preserve">VLM processes drone/satellite sweeps post-disaster to auto-classify damage severity across entire affected regions.</t>
  </si>
  <si>
    <t xml:space="preserve">Accelerates catastrophe claim payouts from weeks to days, improving policyholder outcomes and insurer cash-flow planning.</t>
  </si>
  <si>
    <t xml:space="preserve">xBD + FEMA disaster imagery</t>
  </si>
  <si>
    <t xml:space="preserve">xBD (public), FEMA open data</t>
  </si>
  <si>
    <t xml:space="preserve">Post-disaster aerial imagery</t>
  </si>
  <si>
    <t xml:space="preserve">~50K image pairs (pre/post)</t>
  </si>
  <si>
    <t xml:space="preserve">Claims Adjuster, Catastrophe Modeler, Policyholder, Regulator</t>
  </si>
  <si>
    <t xml:space="preserve">Pre/post damage comparison, severity heatmaps, batch claim triage</t>
  </si>
  <si>
    <t xml:space="preserve">Multi-peril model fusion (wind/flood/fire), automated payout tier recommendation</t>
  </si>
  <si>
    <t xml:space="preserve">Catastrophe modeling platform integration, regulator disaster reporting, reinsurance treaty triggers</t>
  </si>
  <si>
    <t xml:space="preserve">State DOI catastrophe response mandates, NAIC guidelines</t>
  </si>
  <si>
    <t xml:space="preserve">Damage-tier classification accuracy vs ground truth, claim-processing time reduction</t>
  </si>
  <si>
    <t xml:space="preserve">Per-event enterprise licensing to insurers/reinsurers</t>
  </si>
  <si>
    <t xml:space="preserve">VLM-013</t>
  </si>
  <si>
    <t xml:space="preserve">Planogram Compliance Auditor</t>
  </si>
  <si>
    <t xml:space="preserve">Retail chains lose sales from misplaced products and poor shelf compliance across thousands of stores.</t>
  </si>
  <si>
    <t xml:space="preserve">Store auditors manually walk aisles with checklists comparing shelves to planograms.</t>
  </si>
  <si>
    <t xml:space="preserve">VLM analyzes shelf photos against planogram templates to auto-detect misplacement and out-of-stock gaps.</t>
  </si>
  <si>
    <t xml:space="preserve">Improves on-shelf availability and reduces manual audit labor across store networks.</t>
  </si>
  <si>
    <t xml:space="preserve">SKU-110K + custom retail shelf images</t>
  </si>
  <si>
    <t xml:space="preserve">SKU-110K (public) + retailer partners</t>
  </si>
  <si>
    <t xml:space="preserve">In-store shelf photos</t>
  </si>
  <si>
    <t xml:space="preserve">~110K shelf images</t>
  </si>
  <si>
    <t xml:space="preserve">Store Associate, Merchandiser, Regional Manager, Brand Rep</t>
  </si>
  <si>
    <t xml:space="preserve">Planogram matching, OOS detection, misplacement alerts</t>
  </si>
  <si>
    <t xml:space="preserve">Sales-impact prediction from gaps, restocking task auto-generation</t>
  </si>
  <si>
    <t xml:space="preserve">POS/inventory system integration, multi-store dashboard, franchise-level reporting</t>
  </si>
  <si>
    <t xml:space="preserve">Customer PII protection, encryption in transit, role-based access control, PCI compliance for payment-adjacent data</t>
  </si>
  <si>
    <t xml:space="preserve">N/A</t>
  </si>
  <si>
    <t xml:space="preserve">Detection mAP, planogram-compliance score accuracy, OOS reduction rate</t>
  </si>
  <si>
    <t xml:space="preserve">Per-store SaaS subscription to retail chains and CPG brands</t>
  </si>
  <si>
    <t xml:space="preserve">VLM-014</t>
  </si>
  <si>
    <t xml:space="preserve">Visual Search &amp; Style-Match Shopping Assistant</t>
  </si>
  <si>
    <t xml:space="preserve">Shoppers struggle to find products they've seen in photos or real life, causing lost conversions for retailers.</t>
  </si>
  <si>
    <t xml:space="preserve">Customers manually type text search queries that poorly match visual intent.</t>
  </si>
  <si>
    <t xml:space="preserve">VLM lets customers upload a photo to find visually and stylistically similar in-stock products.</t>
  </si>
  <si>
    <t xml:space="preserve">Increases conversion rate and average order value through improved product discovery.</t>
  </si>
  <si>
    <t xml:space="preserve">BLIP-2, Qwen2.5-VL</t>
  </si>
  <si>
    <t xml:space="preserve">Contrastive image-text embeddings are the most efficient and proven approach for large-scale similarity search and retrieval at low latency/cost.</t>
  </si>
  <si>
    <t xml:space="preserve">DeepFashion2 + retailer catalog images</t>
  </si>
  <si>
    <t xml:space="preserve">DeepFashion2 (public) + retailer catalogs</t>
  </si>
  <si>
    <t xml:space="preserve">Product images</t>
  </si>
  <si>
    <t xml:space="preserve">~500K product images</t>
  </si>
  <si>
    <t xml:space="preserve">CLIP API, cloud storage API, payment/ERP integration API</t>
  </si>
  <si>
    <t xml:space="preserve">Extend with an agent that proactively curates and re-ranks results, learns user intent over sessions, and auto-drafts follow-up actions.</t>
  </si>
  <si>
    <t xml:space="preserve">Shopper, Merchandiser, E-commerce Manager</t>
  </si>
  <si>
    <t xml:space="preserve">Image-to-product embedding search, style similarity ranking, outfit completion</t>
  </si>
  <si>
    <t xml:space="preserve">Personalized re-ranking, cross-sell bundling, AR try-on integration</t>
  </si>
  <si>
    <t xml:space="preserve">E-commerce platform (Shopify/Salesforce Commerce) plugin, multi-tenant SaaS scaling</t>
  </si>
  <si>
    <t xml:space="preserve">Recall@K on visual search, conversion-rate lift, click-through rate</t>
  </si>
  <si>
    <t xml:space="preserve">Revenue-share / SaaS subscription to e-commerce platforms</t>
  </si>
  <si>
    <t xml:space="preserve">VLM-015</t>
  </si>
  <si>
    <t xml:space="preserve">Automated Product Listing Generator</t>
  </si>
  <si>
    <t xml:space="preserve">Sellers on marketplaces spend hours manually writing titles, descriptions, and attributes for each product photo.</t>
  </si>
  <si>
    <t xml:space="preserve">Sellers manually photograph products and type listing details for each marketplace.</t>
  </si>
  <si>
    <t xml:space="preserve">VLM generates SEO-optimized titles, descriptions, and structured attributes directly from product photos.</t>
  </si>
  <si>
    <t xml:space="preserve">Cuts listing creation time and improves search ranking/conversion for sellers.</t>
  </si>
  <si>
    <t xml:space="preserve">Gemini, BLIP-2</t>
  </si>
  <si>
    <t xml:space="preserve">Combines high-quality multimodal generation with grounded visual understanding, ideal for content/creative generation tasks.</t>
  </si>
  <si>
    <t xml:space="preserve">Amazon Berkeley Objects (ABO) dataset</t>
  </si>
  <si>
    <t xml:space="preserve">ABO (public)</t>
  </si>
  <si>
    <t xml:space="preserve">Product images + metadata</t>
  </si>
  <si>
    <t xml:space="preserve">~150K products</t>
  </si>
  <si>
    <t xml:space="preserve">GPT-4o API, cloud storage API, payment/ERP integration API</t>
  </si>
  <si>
    <t xml:space="preserve">Extend with an agent that iterates drafts against feedback, sources supporting assets, and auto-publishes approved outputs.</t>
  </si>
  <si>
    <t xml:space="preserve">Seller, Marketplace Ops Manager, Marketing Team</t>
  </si>
  <si>
    <t xml:space="preserve">Attribute extraction, title/description generation, category classification</t>
  </si>
  <si>
    <t xml:space="preserve">Multi-marketplace formatting, A/B tested copy variants, trend-based keyword suggestions</t>
  </si>
  <si>
    <t xml:space="preserve">Marketplace API integrations (Amazon, Etsy, Shopify), brand voice customization, bulk batch processing</t>
  </si>
  <si>
    <t xml:space="preserve">Marketplace content policy compliance</t>
  </si>
  <si>
    <t xml:space="preserve">Listing quality score, SEO keyword coverage, conversion-rate improvement</t>
  </si>
  <si>
    <t xml:space="preserve">Freemium SaaS with per-listing credits + enterprise bulk plans</t>
  </si>
  <si>
    <t xml:space="preserve">VLM-016</t>
  </si>
  <si>
    <t xml:space="preserve">Self-Checkout Loss Prevention Vision System</t>
  </si>
  <si>
    <t xml:space="preserve">Retailers lose significant revenue to scan-avoidance and ticket-switching fraud at self-checkout kiosks.</t>
  </si>
  <si>
    <t xml:space="preserve">Loss-prevention staff review flagged transactions or footage manually after the fact.</t>
  </si>
  <si>
    <t xml:space="preserve">VLM monitors self-checkout camera feeds in real time to detect scan-avoidance and barcode-swap behavior.</t>
  </si>
  <si>
    <t xml:space="preserve">Reduces shrinkage from self-checkout fraud significantly across store fleets.</t>
  </si>
  <si>
    <t xml:space="preserve">Custom self-checkout surveillance footage</t>
  </si>
  <si>
    <t xml:space="preserve">Retail partner pilot stores</t>
  </si>
  <si>
    <t xml:space="preserve">In-store CCTV video</t>
  </si>
  <si>
    <t xml:space="preserve">~3K hours video</t>
  </si>
  <si>
    <t xml:space="preserve">Cashier/Self-checkout User, Loss Prevention Officer, Store Manager</t>
  </si>
  <si>
    <t xml:space="preserve">Item-scan mismatch detection, real-time alerting, incident clip logging</t>
  </si>
  <si>
    <t xml:space="preserve">Behavior-pattern fraud scoring, repeat-offender cross-store tracking</t>
  </si>
  <si>
    <t xml:space="preserve">POS integration, LP case-management system, privacy-compliant on-prem deployment</t>
  </si>
  <si>
    <t xml:space="preserve">Consumer privacy law (state biometric/video statutes)</t>
  </si>
  <si>
    <t xml:space="preserve">Fraud detection precision/recall, false-alarm rate, shrinkage reduction %</t>
  </si>
  <si>
    <t xml:space="preserve">Per-lane hardware+software subscription to retail chains</t>
  </si>
  <si>
    <t xml:space="preserve">VLM-017</t>
  </si>
  <si>
    <t xml:space="preserve">PCB Defect Inspection System</t>
  </si>
  <si>
    <t xml:space="preserve">Electronics manufacturers face costly downstream failures from undetected micro-defects in PCB assembly lines.</t>
  </si>
  <si>
    <t xml:space="preserve">Human inspectors visually check PCBs under magnification at fixed sampling rates.</t>
  </si>
  <si>
    <t xml:space="preserve">VLM inspects high-resolution PCB images for solder defects, missing components, and micro-cracks in real time.</t>
  </si>
  <si>
    <t xml:space="preserve">Reduces defective-unit escape rate and inspection labor cost on high-volume lines.</t>
  </si>
  <si>
    <t xml:space="preserve">Qwen2.5-VL, CLIP</t>
  </si>
  <si>
    <t xml:space="preserve">Excellent fine-grained visual grounding and region-level defect localization, lightweight enough for edge/line deployment.</t>
  </si>
  <si>
    <t xml:space="preserve">DeepPCB + custom line imagery</t>
  </si>
  <si>
    <t xml:space="preserve">DeepPCB (public) + manufacturer partners</t>
  </si>
  <si>
    <t xml:space="preserve">High-res PCB images</t>
  </si>
  <si>
    <t xml:space="preserve">~20K defect-labeled images</t>
  </si>
  <si>
    <t xml:space="preserve">Florence-2 API, cloud storage API, domain system integration API</t>
  </si>
  <si>
    <t xml:space="preserve">Extend with an agent that auto-creates maintenance tickets, orders replacement parts, and schedules technician dispatch based on defect severity.</t>
  </si>
  <si>
    <t xml:space="preserve">Quality Engineer, Line Operator, Plant Manager</t>
  </si>
  <si>
    <t xml:space="preserve">Defect localization, classification by defect type, pass/fail scoring</t>
  </si>
  <si>
    <t xml:space="preserve">Root-cause correlation with process parameters, predictive yield modeling</t>
  </si>
  <si>
    <t xml:space="preserve">MES/SCADA integration, real-time line-stoppage triggers, multi-plant dashboards</t>
  </si>
  <si>
    <t xml:space="preserve">OT/IT network segmentation, encryption at rest/in transit, role-based access control, change-management audit logs</t>
  </si>
  <si>
    <t xml:space="preserve">IPC-A-610 quality standards</t>
  </si>
  <si>
    <t xml:space="preserve">Defect detection mAP, false-reject rate, yield improvement %</t>
  </si>
  <si>
    <t xml:space="preserve">Per-line hardware+software licensing to electronics manufacturers</t>
  </si>
  <si>
    <t xml:space="preserve">VLM-018</t>
  </si>
  <si>
    <t xml:space="preserve">Assembly Line Ergonomic Safety Monitor</t>
  </si>
  <si>
    <t xml:space="preserve">Factories struggle to proactively prevent repetitive-strain injuries from unsafe worker postures on assembly lines.</t>
  </si>
  <si>
    <t xml:space="preserve">Safety officers do periodic manual ergonomic assessments via clipboard checklists.</t>
  </si>
  <si>
    <t xml:space="preserve">VLM analyzes line-of-sight camera feeds to detect unsafe lifting postures and repetitive-strain risk in real time.</t>
  </si>
  <si>
    <t xml:space="preserve">Reduces workplace injury claims and associated OSHA liability costs.</t>
  </si>
  <si>
    <t xml:space="preserve">Custom factory floor video + pose datasets (COCO-pose base)</t>
  </si>
  <si>
    <t xml:space="preserve">Manufacturer partners + COCO (public base)</t>
  </si>
  <si>
    <t xml:space="preserve">Factory floor video</t>
  </si>
  <si>
    <t xml:space="preserve">~2K hours video</t>
  </si>
  <si>
    <t xml:space="preserve">Line Worker, Safety Officer, Plant Manager</t>
  </si>
  <si>
    <t xml:space="preserve">Pose estimation, unsafe-posture alerts, ergonomic risk scoring</t>
  </si>
  <si>
    <t xml:space="preserve">Personalized coaching recommendations, fatigue-trend detection over shifts</t>
  </si>
  <si>
    <t xml:space="preserve">Safety management system integration, anonymized worker privacy mode, OSHA reporting export</t>
  </si>
  <si>
    <t xml:space="preserve">OSHA regulations, worker privacy/biometric law</t>
  </si>
  <si>
    <t xml:space="preserve">Posture-risk detection accuracy, injury-rate reduction, alert precision</t>
  </si>
  <si>
    <t xml:space="preserve">Per-plant annual license + safety-compliance reporting add-on</t>
  </si>
  <si>
    <t xml:space="preserve">VLM-019</t>
  </si>
  <si>
    <t xml:space="preserve">Predictive Maintenance Thermal Vision Platform</t>
  </si>
  <si>
    <t xml:space="preserve">Unplanned equipment failures cause costly downtime because early thermal/visual wear signs go unnoticed.</t>
  </si>
  <si>
    <t xml:space="preserve">Maintenance technicians perform scheduled manual inspections regardless of actual equipment condition.</t>
  </si>
  <si>
    <t xml:space="preserve">VLM fuses thermal camera and RGB imagery to detect early wear, overheating, and misalignment signatures.</t>
  </si>
  <si>
    <t xml:space="preserve">Shifts maintenance from scheduled to condition-based, cutting downtime and maintenance spend.</t>
  </si>
  <si>
    <t xml:space="preserve">Custom thermal+RGB equipment imagery</t>
  </si>
  <si>
    <t xml:space="preserve">Manufacturer partners + FLIR datasets</t>
  </si>
  <si>
    <t xml:space="preserve">Thermal + RGB video</t>
  </si>
  <si>
    <t xml:space="preserve">~10K image pairs</t>
  </si>
  <si>
    <t xml:space="preserve">Maintenance Technician, Reliability Engineer, Plant Manager</t>
  </si>
  <si>
    <t xml:space="preserve">Anomaly heatmap detection, wear-severity scoring, maintenance-ticket auto-generation</t>
  </si>
  <si>
    <t xml:space="preserve">Failure-time prediction, spare-parts inventory optimization</t>
  </si>
  <si>
    <t xml:space="preserve">CMMS integration, multi-plant fleet dashboard, digital-twin sync</t>
  </si>
  <si>
    <t xml:space="preserve">ISO 55000 asset management standards</t>
  </si>
  <si>
    <t xml:space="preserve">Anomaly detection precision/recall, downtime-reduction %, prediction lead-time accuracy</t>
  </si>
  <si>
    <t xml:space="preserve">Per-asset monitoring subscription to industrial manufacturers</t>
  </si>
  <si>
    <t xml:space="preserve">VLM-020</t>
  </si>
  <si>
    <t xml:space="preserve">Packaging &amp; Label Compliance Verifier</t>
  </si>
  <si>
    <t xml:space="preserve">Consumer goods manufacturers risk costly recalls from incorrect labels, allergen omissions, or regulatory non-compliance.</t>
  </si>
  <si>
    <t xml:space="preserve">QA staff manually proofread label artwork against regulatory checklists before print runs.</t>
  </si>
  <si>
    <t xml:space="preserve">VLM cross-checks label artwork against regulatory templates, allergen databases, and prior approved versions.</t>
  </si>
  <si>
    <t xml:space="preserve">Prevents costly labeling recalls and speeds up product launch cycles.</t>
  </si>
  <si>
    <t xml:space="preserve">Custom label artwork corpus</t>
  </si>
  <si>
    <t xml:space="preserve">CPG manufacturer partners</t>
  </si>
  <si>
    <t xml:space="preserve">Label artwork images/PDFs</t>
  </si>
  <si>
    <t xml:space="preserve">~25K label variants</t>
  </si>
  <si>
    <t xml:space="preserve">QA Specialist, Regulatory Affairs, Brand Manager</t>
  </si>
  <si>
    <t xml:space="preserve">Text/allergen extraction, regulatory-template diffing, version-control comparison</t>
  </si>
  <si>
    <t xml:space="preserve">Multi-market localization compliance (FDA/EU/etc.), auto-flag ingredient conflicts</t>
  </si>
  <si>
    <t xml:space="preserve">PLM/artwork-management system integration, regulatory audit trail, multi-brand portfolio support</t>
  </si>
  <si>
    <t xml:space="preserve">FDA labeling regulations, EU FIC regulation, allergen labeling laws</t>
  </si>
  <si>
    <t xml:space="preserve">Error-detection recall, false-negative rate on allergen omissions, review-time reduction</t>
  </si>
  <si>
    <t xml:space="preserve">Per-SKU compliance-check fee + enterprise PLM integration license</t>
  </si>
  <si>
    <t xml:space="preserve">VLM-021</t>
  </si>
  <si>
    <t xml:space="preserve">Crop Disease Early Detection Drone Platform</t>
  </si>
  <si>
    <t xml:space="preserve">Farmers lose significant yield from crop diseases and pest infestations detected too late for effective treatment.</t>
  </si>
  <si>
    <t xml:space="preserve">Agronomists manually walk fields or rely on visual spot-checks to identify disease symptoms.</t>
  </si>
  <si>
    <t xml:space="preserve">VLM analyzes drone/satellite crop imagery to detect early disease/pest symptoms and pinpoint affected zones.</t>
  </si>
  <si>
    <t xml:space="preserve">Enables targeted early intervention, reducing yield loss and pesticide overuse.</t>
  </si>
  <si>
    <t xml:space="preserve">PlantVillage + PlantDoc datasets</t>
  </si>
  <si>
    <t xml:space="preserve">PlantVillage/PlantDoc (public)</t>
  </si>
  <si>
    <t xml:space="preserve">Drone/leaf imagery</t>
  </si>
  <si>
    <t xml:space="preserve">~80K labeled images</t>
  </si>
  <si>
    <t xml:space="preserve">Farmer, Agronomist, Cooperative Manager, Crop Insurer</t>
  </si>
  <si>
    <t xml:space="preserve">Disease/pest classification, affected-zone mapping, severity scoring</t>
  </si>
  <si>
    <t xml:space="preserve">Treatment recommendation engine, yield-loss forecasting, weather-correlated risk modeling</t>
  </si>
  <si>
    <t xml:space="preserve">Farm management software integration, cooperative-level fleet dashboards, subsidy/insurance reporting</t>
  </si>
  <si>
    <t xml:space="preserve">Farm data ownership controls, encryption in transit, role-based access control, GPS/location-data minimization</t>
  </si>
  <si>
    <t xml:space="preserve">Pesticide-use regulatory reporting</t>
  </si>
  <si>
    <t xml:space="preserve">Disease classification accuracy, early-detection lead-time, yield-preservation estimate</t>
  </si>
  <si>
    <t xml:space="preserve">Per-acre seasonal subscription to farms and agri-cooperatives</t>
  </si>
  <si>
    <t xml:space="preserve">VLM-022</t>
  </si>
  <si>
    <t xml:space="preserve">Livestock Health &amp; Behavior Monitor</t>
  </si>
  <si>
    <t xml:space="preserve">Large livestock operations cannot manually monitor individual animal health/behavior across thousands of head.</t>
  </si>
  <si>
    <t xml:space="preserve">Ranch hands do periodic visual walk-throughs to spot sick or injured animals.</t>
  </si>
  <si>
    <t xml:space="preserve">VLM analyzes barn/pasture camera feeds to detect lameness, illness signs, and abnormal behavior per animal.</t>
  </si>
  <si>
    <t xml:space="preserve">Reduces livestock mortality and veterinary emergency costs through earlier intervention.</t>
  </si>
  <si>
    <t xml:space="preserve">Custom livestock video + pose annotation</t>
  </si>
  <si>
    <t xml:space="preserve">Ranch/dairy partners</t>
  </si>
  <si>
    <t xml:space="preserve">Barn/pasture video</t>
  </si>
  <si>
    <t xml:space="preserve">~4K hours video</t>
  </si>
  <si>
    <t xml:space="preserve">Rancher, Veterinarian, Farm Operations Manager</t>
  </si>
  <si>
    <t xml:space="preserve">Individual animal tracking, lameness/illness detection, feeding-behavior analysis</t>
  </si>
  <si>
    <t xml:space="preserve">Predictive health-risk scoring, breeding-cycle optimization</t>
  </si>
  <si>
    <t xml:space="preserve">Farm ERP integration, vet telehealth handoff, multi-ranch fleet dashboard</t>
  </si>
  <si>
    <t xml:space="preserve">Animal welfare regulations</t>
  </si>
  <si>
    <t xml:space="preserve">Illness-detection sensitivity, false-alarm rate, mortality-rate reduction</t>
  </si>
  <si>
    <t xml:space="preserve">Per-head monthly subscription to livestock operations</t>
  </si>
  <si>
    <t xml:space="preserve">VLM-023</t>
  </si>
  <si>
    <t xml:space="preserve">Grain Quality &amp; Grading Vision Inspector</t>
  </si>
  <si>
    <t xml:space="preserve">Grain elevators and processors rely on slow manual sampling to grade quality, moisture, and foreign-material content.</t>
  </si>
  <si>
    <t xml:space="preserve">Graders manually inspect physical grain samples under lighting stations.</t>
  </si>
  <si>
    <t xml:space="preserve">VLM analyzes grain sample images to auto-grade quality, detect foreign material, and estimate moisture-related defects.</t>
  </si>
  <si>
    <t xml:space="preserve">Speeds up intake grading and improves grading consistency across facilities.</t>
  </si>
  <si>
    <t xml:space="preserve">Custom grain sample imagery</t>
  </si>
  <si>
    <t xml:space="preserve">Grain elevator/processor partners</t>
  </si>
  <si>
    <t xml:space="preserve">Macro sample images</t>
  </si>
  <si>
    <t xml:space="preserve">~15K graded samples</t>
  </si>
  <si>
    <t xml:space="preserve">Grain Elevator Operator, Grader, Commodity Trader</t>
  </si>
  <si>
    <t xml:space="preserve">Foreign-material detection, grade classification, defect percentage estimation</t>
  </si>
  <si>
    <t xml:space="preserve">Cross-facility grading calibration, price-adjustment recommendation</t>
  </si>
  <si>
    <t xml:space="preserve">ERP/commodity trading system integration, USDA grading standard alignment, multi-site calibration</t>
  </si>
  <si>
    <t xml:space="preserve">USDA grain grading standards</t>
  </si>
  <si>
    <t xml:space="preserve">Grading accuracy vs certified human grader, throughput improvement</t>
  </si>
  <si>
    <t xml:space="preserve">Per-facility SaaS + per-sample transaction fee</t>
  </si>
  <si>
    <t xml:space="preserve">VLM-024</t>
  </si>
  <si>
    <t xml:space="preserve">Farm-to-Table Supply Chain Traceability Vision Log</t>
  </si>
  <si>
    <t xml:space="preserve">Food brands and regulators need verifiable, tamper-evident visual proof of produce origin and handling conditions.</t>
  </si>
  <si>
    <t xml:space="preserve">Paper-based logs and manual photos are used inconsistently across the supply chain.</t>
  </si>
  <si>
    <t xml:space="preserve">VLM auto-generates structured provenance records from field/packhouse/transport photos with tamper-evident timestamps.</t>
  </si>
  <si>
    <t xml:space="preserve">Improves recall response time and strengthens premium/organic certification trust.</t>
  </si>
  <si>
    <t xml:space="preserve">Custom supply-chain imagery + metadata</t>
  </si>
  <si>
    <t xml:space="preserve">Agribusiness partners</t>
  </si>
  <si>
    <t xml:space="preserve">Field/packhouse photos + GPS/timestamp metadata</t>
  </si>
  <si>
    <t xml:space="preserve">~30K logged events</t>
  </si>
  <si>
    <t xml:space="preserve">Farmer, Distributor, Retail Buyer, Food Safety Auditor</t>
  </si>
  <si>
    <t xml:space="preserve">Auto-tagging of harvest/handling events, condition verification, chain-of-custody log</t>
  </si>
  <si>
    <t xml:space="preserve">Blockchain-anchored provenance, recall simulation and rapid trace-back</t>
  </si>
  <si>
    <t xml:space="preserve">ERP/blockchain integration, retailer-facing QR provenance portal, multi-tier supplier onboarding</t>
  </si>
  <si>
    <t xml:space="preserve">FSMA Food Traceability Rule, organic certification standards</t>
  </si>
  <si>
    <t xml:space="preserve">Provenance record completeness, trace-back time reduction, audit pass rate</t>
  </si>
  <si>
    <t xml:space="preserve">Per-shipment traceability fee to agribusiness and retail buyers</t>
  </si>
  <si>
    <t xml:space="preserve">VLM-025</t>
  </si>
  <si>
    <t xml:space="preserve">Construction Site Safety Compliance Vision AI</t>
  </si>
  <si>
    <t xml:space="preserve">Construction sites face high injury and fatality rates from missed PPE and hazard-zone violations.</t>
  </si>
  <si>
    <t xml:space="preserve">Safety officers do periodic manual site walks to check PPE and hazard compliance.</t>
  </si>
  <si>
    <t xml:space="preserve">VLM analyzes site camera feeds to detect missing PPE, unsafe scaffolding, and hazard-zone intrusions in real time.</t>
  </si>
  <si>
    <t xml:space="preserve">Reduces jobsite incidents and OSHA fines through continuous automated monitoring.</t>
  </si>
  <si>
    <t xml:space="preserve">SODA + custom jobsite footage</t>
  </si>
  <si>
    <t xml:space="preserve">SODA construction dataset (public) + partners</t>
  </si>
  <si>
    <t xml:space="preserve">Jobsite CCTV/drone video</t>
  </si>
  <si>
    <t xml:space="preserve">Construction Worker, Site Safety Officer, Project Manager, Insurer</t>
  </si>
  <si>
    <t xml:space="preserve">PPE detection, hazard-zone intrusion alerts, incident logging</t>
  </si>
  <si>
    <t xml:space="preserve">Near-miss prediction, safety-score benchmarking across sites</t>
  </si>
  <si>
    <t xml:space="preserve">Site management software integration, insurer risk-reporting export, multi-project dashboards</t>
  </si>
  <si>
    <t xml:space="preserve">Jobsite worker privacy controls, encryption at rest/in transit, role-based access control, incident audit logging</t>
  </si>
  <si>
    <t xml:space="preserve">OSHA construction standards (29 CFR 1926)</t>
  </si>
  <si>
    <t xml:space="preserve">PPE-detection precision/recall, incident-rate reduction, false-alarm rate</t>
  </si>
  <si>
    <t xml:space="preserve">Per-site monthly subscription to construction firms and insurers</t>
  </si>
  <si>
    <t xml:space="preserve">VLM-026</t>
  </si>
  <si>
    <t xml:space="preserve">Progress Monitoring &amp; As-Built Comparison Platform</t>
  </si>
  <si>
    <t xml:space="preserve">General contractors struggle to track construction progress against BIM plans, causing costly schedule overruns.</t>
  </si>
  <si>
    <t xml:space="preserve">Project managers manually compare site photos to blueprints during weekly walkthroughs.</t>
  </si>
  <si>
    <t xml:space="preserve">VLM compares drone/site-camera imagery against BIM models to auto-track progress and flag deviations.</t>
  </si>
  <si>
    <t xml:space="preserve">Improves schedule adherence and reduces rework costs from undetected deviations.</t>
  </si>
  <si>
    <t xml:space="preserve">Custom drone imagery + BIM model pairs</t>
  </si>
  <si>
    <t xml:space="preserve">Construction firm partners</t>
  </si>
  <si>
    <t xml:space="preserve">Drone imagery + BIM/CAD models</t>
  </si>
  <si>
    <t xml:space="preserve">~8K image-BIM pairs</t>
  </si>
  <si>
    <t xml:space="preserve">Project Manager, Site Engineer, Owner/Developer, Subcontractor</t>
  </si>
  <si>
    <t xml:space="preserve">Progress percentage tracking, deviation flagging, milestone photo documentation</t>
  </si>
  <si>
    <t xml:space="preserve">Delay-cause attribution, cost-overrun forecasting integration</t>
  </si>
  <si>
    <t xml:space="preserve">BIM/Procore integration, multi-stakeholder reporting portal, subcontractor accountability tracking</t>
  </si>
  <si>
    <t xml:space="preserve">Building code compliance reporting</t>
  </si>
  <si>
    <t xml:space="preserve">Deviation-detection accuracy, schedule-variance prediction error, rework-cost reduction</t>
  </si>
  <si>
    <t xml:space="preserve">Per-project SaaS licensing to general contractors and developers</t>
  </si>
  <si>
    <t xml:space="preserve">VLM-027</t>
  </si>
  <si>
    <t xml:space="preserve">Structural Crack &amp; Defect Inspection Drone Service</t>
  </si>
  <si>
    <t xml:space="preserve">Aging bridges and structures require costly, dangerous manual inspections to detect cracks and structural defects.</t>
  </si>
  <si>
    <t xml:space="preserve">Engineers manually inspect structures on-site with visual checklists and sometimes rope access.</t>
  </si>
  <si>
    <t xml:space="preserve">VLM analyzes drone-captured structural imagery to detect and classify cracks, spalling, and corrosion severity.</t>
  </si>
  <si>
    <t xml:space="preserve">Reduces inspection cost/risk and enables more frequent monitoring of critical infrastructure.</t>
  </si>
  <si>
    <t xml:space="preserve">CODEBRIM + custom structural imagery</t>
  </si>
  <si>
    <t xml:space="preserve">CODEBRIM (public) + civil engineering partners</t>
  </si>
  <si>
    <t xml:space="preserve">High-res structural drone imagery</t>
  </si>
  <si>
    <t xml:space="preserve">~7K defect-labeled images</t>
  </si>
  <si>
    <t xml:space="preserve">Structural Engineer, DOT Inspector, Asset Manager</t>
  </si>
  <si>
    <t xml:space="preserve">Crack/spalling/corrosion classification, severity scoring, defect map overlay</t>
  </si>
  <si>
    <t xml:space="preserve">Time-series structural degradation tracking, maintenance-priority ranking</t>
  </si>
  <si>
    <t xml:space="preserve">Asset management system integration, DOT/municipal reporting compliance, multi-bridge fleet dashboard</t>
  </si>
  <si>
    <t xml:space="preserve">AASHTO/FHWA bridge inspection standards</t>
  </si>
  <si>
    <t xml:space="preserve">Defect classification accuracy, severity-scoring correlation with expert rating</t>
  </si>
  <si>
    <t xml:space="preserve">Per-inspection fee + annual asset-monitoring subscription to DOTs/municipalities</t>
  </si>
  <si>
    <t xml:space="preserve">VLM-028</t>
  </si>
  <si>
    <t xml:space="preserve">Construction Permit &amp; Drawing Compliance Checker</t>
  </si>
  <si>
    <t xml:space="preserve">Building departments and contractors face slow, error-prone manual review of architectural drawings against code requirements.</t>
  </si>
  <si>
    <t xml:space="preserve">Plan reviewers manually cross-check drawings against building codes page by page.</t>
  </si>
  <si>
    <t xml:space="preserve">VLM reads architectural drawings/PDFs and cross-checks dimensions, egress, and code requirements automatically.</t>
  </si>
  <si>
    <t xml:space="preserve">Speeds up permit approval cycles and reduces costly post-approval rework.</t>
  </si>
  <si>
    <t xml:space="preserve">Custom architectural drawing corpus</t>
  </si>
  <si>
    <t xml:space="preserve">Municipal building departments + firms</t>
  </si>
  <si>
    <t xml:space="preserve">CAD/PDF architectural drawings</t>
  </si>
  <si>
    <t xml:space="preserve">~10K drawing sets</t>
  </si>
  <si>
    <t xml:space="preserve">Plan Reviewer, Architect, Building Department, Contractor</t>
  </si>
  <si>
    <t xml:space="preserve">Dimension/label extraction, code-clause cross-referencing, violation flagging</t>
  </si>
  <si>
    <t xml:space="preserve">Multi-jurisdiction code adaptation, automated redline suggestions</t>
  </si>
  <si>
    <t xml:space="preserve">Municipal permitting system integration, architect firm plan-check workflow, audit trail</t>
  </si>
  <si>
    <t xml:space="preserve">Local/state building codes, IBC/ADA compliance standards</t>
  </si>
  <si>
    <t xml:space="preserve">Violation-detection recall, review-time reduction, false-positive rate</t>
  </si>
  <si>
    <t xml:space="preserve">Per-permit review fee to municipalities + SaaS license to architecture firms</t>
  </si>
  <si>
    <t xml:space="preserve">VLM-029</t>
  </si>
  <si>
    <t xml:space="preserve">Traffic Incident Detection &amp; Response Orchestrator</t>
  </si>
  <si>
    <t xml:space="preserve">Cities struggle to detect and respond to traffic accidents and hazards quickly across large camera networks.</t>
  </si>
  <si>
    <t xml:space="preserve">Traffic control center staff manually scan dozens of camera feeds for incidents.</t>
  </si>
  <si>
    <t xml:space="preserve">VLM continuously analyzes traffic camera feeds to detect accidents, stalled vehicles, and debris, auto-alerting responders.</t>
  </si>
  <si>
    <t xml:space="preserve">Cuts incident detection-to-response time and reduces secondary-accident risk on highways.</t>
  </si>
  <si>
    <t xml:space="preserve">Custom traffic camera footage + BDD100K</t>
  </si>
  <si>
    <t xml:space="preserve">BDD100K (public) + DOT partners</t>
  </si>
  <si>
    <t xml:space="preserve">Traffic camera video</t>
  </si>
  <si>
    <t xml:space="preserve">~10K hours video</t>
  </si>
  <si>
    <t xml:space="preserve">Traffic Control Operator, First Responder, City Transportation Dept</t>
  </si>
  <si>
    <t xml:space="preserve">Incident detection, severity classification, auto-dispatch alerting</t>
  </si>
  <si>
    <t xml:space="preserve">Traffic-flow impact prediction, multi-agency response coordination</t>
  </si>
  <si>
    <t xml:space="preserve">911/DOT dispatch system integration, multi-city fleet dashboard, historical incident analytics</t>
  </si>
  <si>
    <t xml:space="preserve">Citizen privacy-by-design, encryption at rest/in transit, role-based municipal access control, public-records audit trail</t>
  </si>
  <si>
    <t xml:space="preserve">DOT data-sharing regulations, public-safety data governance</t>
  </si>
  <si>
    <t xml:space="preserve">Incident detection precision/recall, response-time reduction, false-alarm rate</t>
  </si>
  <si>
    <t xml:space="preserve">Municipal enterprise licensing (annual government contract)</t>
  </si>
  <si>
    <t xml:space="preserve">VLM-030</t>
  </si>
  <si>
    <t xml:space="preserve">Municipal Infrastructure Defect Reporting App</t>
  </si>
  <si>
    <t xml:space="preserve">Cities rely on slow, inconsistent citizen complaints to identify potholes, broken streetlights, and infrastructure damage.</t>
  </si>
  <si>
    <t xml:space="preserve">Residents call or file manual 311 reports; crews visually verify before dispatch.</t>
  </si>
  <si>
    <t xml:space="preserve">VLM lets citizens/city vehicles photograph infrastructure issues for auto-classification and work-order generation.</t>
  </si>
  <si>
    <t xml:space="preserve">Speeds up infrastructure repair response and improves resource allocation across city departments.</t>
  </si>
  <si>
    <t xml:space="preserve">Custom pothole/streetlight imagery + RDD2022</t>
  </si>
  <si>
    <t xml:space="preserve">RDD2022 (public) + municipal partners</t>
  </si>
  <si>
    <t xml:space="preserve">Street-level photos/dashcam video</t>
  </si>
  <si>
    <t xml:space="preserve">~40K labeled images</t>
  </si>
  <si>
    <t xml:space="preserve">Citizen, Public Works Crew, City Department Manager</t>
  </si>
  <si>
    <t xml:space="preserve">Defect classification (pothole/graffiti/signage), severity scoring, auto work-order creation</t>
  </si>
  <si>
    <t xml:space="preserve">Repair-priority optimization, budget-impact forecasting</t>
  </si>
  <si>
    <t xml:space="preserve">311/CRM system integration, public dashboard transparency portal, multi-department routing</t>
  </si>
  <si>
    <t xml:space="preserve">Public records/open-data regulations</t>
  </si>
  <si>
    <t xml:space="preserve">Defect classification accuracy, response-time reduction, citizen satisfaction score</t>
  </si>
  <si>
    <t xml:space="preserve">Municipal government SaaS contract (per-population tier pricing)</t>
  </si>
  <si>
    <t xml:space="preserve">VLM-031</t>
  </si>
  <si>
    <t xml:space="preserve">Smart Parking Occupancy &amp; Enforcement Vision System</t>
  </si>
  <si>
    <t xml:space="preserve">Cities lose parking revenue and create congestion from inefficient manual parking enforcement and occupancy tracking.</t>
  </si>
  <si>
    <t xml:space="preserve">Parking enforcement officers manually patrol streets and lots to check violations and occupancy.</t>
  </si>
  <si>
    <t xml:space="preserve">VLM analyzes camera feeds to detect parking occupancy, violations, and auto-generate enforcement alerts.</t>
  </si>
  <si>
    <t xml:space="preserve">Increases parking revenue capture and reduces congestion from search-for-parking traffic.</t>
  </si>
  <si>
    <t xml:space="preserve">CNRPark + custom municipal parking footage</t>
  </si>
  <si>
    <t xml:space="preserve">CNRPark (public) + city partners</t>
  </si>
  <si>
    <t xml:space="preserve">Parking lot/street camera video</t>
  </si>
  <si>
    <t xml:space="preserve">~15K images/frames</t>
  </si>
  <si>
    <t xml:space="preserve">Driver, Parking Enforcement Officer, City Transportation Dept</t>
  </si>
  <si>
    <t xml:space="preserve">Occupancy detection, violation classification, real-time availability map</t>
  </si>
  <si>
    <t xml:space="preserve">Dynamic pricing recommendation, predictive occupancy forecasting</t>
  </si>
  <si>
    <t xml:space="preserve">Parking payment system integration, city enforcement dispatch, open-data occupancy API</t>
  </si>
  <si>
    <t xml:space="preserve">Municipal parking regulations, privacy law on license-plate data</t>
  </si>
  <si>
    <t xml:space="preserve">Occupancy detection accuracy, violation-detection precision, revenue-capture increase</t>
  </si>
  <si>
    <t xml:space="preserve">Municipal contract + driver-facing app subscription/ads</t>
  </si>
  <si>
    <t xml:space="preserve">VLM-032</t>
  </si>
  <si>
    <t xml:space="preserve">Urban Waste Management Route Optimizer with Vision</t>
  </si>
  <si>
    <t xml:space="preserve">Municipal waste collection is inefficient due to fixed routes that ignore actual bin-fill levels and contamination.</t>
  </si>
  <si>
    <t xml:space="preserve">Crews follow fixed routes and visually inspect bins, often collecting partially-empty ones.</t>
  </si>
  <si>
    <t xml:space="preserve">VLM analyzes truck-mounted camera images to assess bin fill-level and contamination, optimizing collection routes dynamically.</t>
  </si>
  <si>
    <t xml:space="preserve">Reduces fuel/labor costs and improves recycling contamination rates for municipalities.</t>
  </si>
  <si>
    <t xml:space="preserve">Custom waste-bin imagery</t>
  </si>
  <si>
    <t xml:space="preserve">Municipal waste management partners</t>
  </si>
  <si>
    <t xml:space="preserve">Truck-mounted camera images</t>
  </si>
  <si>
    <t xml:space="preserve">~20K bin images</t>
  </si>
  <si>
    <t xml:space="preserve">Waste Collection Crew, Fleet Manager, City Sustainability Officer</t>
  </si>
  <si>
    <t xml:space="preserve">Fill-level estimation, contamination detection, dynamic route suggestion</t>
  </si>
  <si>
    <t xml:space="preserve">Seasonal demand forecasting, recycling-quality scoring for rebates</t>
  </si>
  <si>
    <t xml:space="preserve">Fleet management system integration, municipal budget reporting, multi-city analytics dashboard</t>
  </si>
  <si>
    <t xml:space="preserve">Municipal environmental regulations</t>
  </si>
  <si>
    <t xml:space="preserve">Fill-level estimation accuracy, route-efficiency improvement, contamination-detection precision</t>
  </si>
  <si>
    <t xml:space="preserve">Municipal SaaS contract + per-truck hardware licensing</t>
  </si>
  <si>
    <t xml:space="preserve">VLM-033</t>
  </si>
  <si>
    <t xml:space="preserve">Phishing Website Visual Similarity Detector</t>
  </si>
  <si>
    <t xml:space="preserve">Brand-impersonation phishing sites evade text-based filters by visually mimicking legitimate login pages.</t>
  </si>
  <si>
    <t xml:space="preserve">Security analysts manually review reported suspicious URLs and screenshots.</t>
  </si>
  <si>
    <t xml:space="preserve">VLM compares screenshots of suspicious sites against legitimate brand assets to detect visual impersonation attempts.</t>
  </si>
  <si>
    <t xml:space="preserve">Speeds up phishing takedown response and reduces credential-theft incidents for brands.</t>
  </si>
  <si>
    <t xml:space="preserve">PhishIntention + custom brand screenshot set</t>
  </si>
  <si>
    <t xml:space="preserve">PhishIntention (public) + brand partners</t>
  </si>
  <si>
    <t xml:space="preserve">Website screenshots</t>
  </si>
  <si>
    <t xml:space="preserve">~30K screenshots</t>
  </si>
  <si>
    <t xml:space="preserve">CLIP API, cloud storage API, domain system integration API</t>
  </si>
  <si>
    <t xml:space="preserve">SOC Analyst, Brand Protection Team, End User</t>
  </si>
  <si>
    <t xml:space="preserve">Logo/layout similarity scoring, brand-impersonation classification, takedown-report generation</t>
  </si>
  <si>
    <t xml:space="preserve">Real-time browser-extension scanning, dark-web phishing kit correlation</t>
  </si>
  <si>
    <t xml:space="preserve">SIEM/SOAR integration, brand-protection vendor API, automated takedown-request filing</t>
  </si>
  <si>
    <t xml:space="preserve">Zero-trust architecture, encryption at rest/in transit, strict role-based access control, tamper-evident logging</t>
  </si>
  <si>
    <t xml:space="preserve">Detection precision/recall, false-positive rate, takedown time reduction</t>
  </si>
  <si>
    <t xml:space="preserve">Enterprise brand-protection SaaS subscription</t>
  </si>
  <si>
    <t xml:space="preserve">VLM-034</t>
  </si>
  <si>
    <t xml:space="preserve">Physical Security Badge &amp; Tailgating Detector</t>
  </si>
  <si>
    <t xml:space="preserve">Corporate facilities face security breaches from tailgating and badge-sharing at access points.</t>
  </si>
  <si>
    <t xml:space="preserve">Security guards manually monitor entrance cameras or rely on badge-swipe logs alone.</t>
  </si>
  <si>
    <t xml:space="preserve">VLM analyzes entrance camera feeds to detect tailgating, badge-sharing, and unauthorized access attempts in real time.</t>
  </si>
  <si>
    <t xml:space="preserve">Reduces physical security incidents and insider-threat risk at corporate/data-center facilities.</t>
  </si>
  <si>
    <t xml:space="preserve">Custom entrance surveillance footage</t>
  </si>
  <si>
    <t xml:space="preserve">Corporate facility partners</t>
  </si>
  <si>
    <t xml:space="preserve">Entrance CCTV video</t>
  </si>
  <si>
    <t xml:space="preserve">Security Guard, Facilities Manager, CISO</t>
  </si>
  <si>
    <t xml:space="preserve">Person-counting per badge swipe, tailgating alert, access-log correlation</t>
  </si>
  <si>
    <t xml:space="preserve">Behavioral anomaly detection, VIP/watchlist recognition (privacy-controlled)</t>
  </si>
  <si>
    <t xml:space="preserve">Physical access control system (PACS) integration, SOC dashboard, compliance audit export</t>
  </si>
  <si>
    <t xml:space="preserve">Biometric/video privacy law, SOC2 compliance</t>
  </si>
  <si>
    <t xml:space="preserve">Tailgating-detection precision/recall, false-alarm rate, incident-response time</t>
  </si>
  <si>
    <t xml:space="preserve">Enterprise physical-security SaaS + hardware bundle</t>
  </si>
  <si>
    <t xml:space="preserve">VLM-035</t>
  </si>
  <si>
    <t xml:space="preserve">Deepfake &amp; Synthetic Media Detection Service</t>
  </si>
  <si>
    <t xml:space="preserve">Organizations face rising fraud and disinformation risk from AI-generated deepfake video/images used in scams.</t>
  </si>
  <si>
    <t xml:space="preserve">Analysts manually review suspicious media using ad-hoc heuristics with no standardized tooling.</t>
  </si>
  <si>
    <t xml:space="preserve">VLM analyzes video/image artifacts, lighting inconsistencies, and metadata to score deepfake likelihood.</t>
  </si>
  <si>
    <t xml:space="preserve">Reduces fraud losses from deepfake-enabled scams (e.g., CEO fraud video calls) and disinformation spread.</t>
  </si>
  <si>
    <t xml:space="preserve">FaceForensics++ + DFDC</t>
  </si>
  <si>
    <t xml:space="preserve">FaceForensics++ / DFDC (public)</t>
  </si>
  <si>
    <t xml:space="preserve">Video/image datasets</t>
  </si>
  <si>
    <t xml:space="preserve">~120K video clips</t>
  </si>
  <si>
    <t xml:space="preserve">SOC Analyst, Journalist/Media Org, Fraud Investigator</t>
  </si>
  <si>
    <t xml:space="preserve">Deepfake likelihood scoring, artifact heatmap explanation, batch media screening</t>
  </si>
  <si>
    <t xml:space="preserve">Cross-platform provenance tracing, live-call deepfake detection</t>
  </si>
  <si>
    <t xml:space="preserve">Enterprise SOC/SIEM integration, media-authentication API, legal evidentiary reporting</t>
  </si>
  <si>
    <t xml:space="preserve">Emerging deepfake disclosure laws</t>
  </si>
  <si>
    <t xml:space="preserve">Detection AUROC, false-positive rate, cross-dataset generalization</t>
  </si>
  <si>
    <t xml:space="preserve">Enterprise API subscription + per-scan pricing to media/finance orgs</t>
  </si>
  <si>
    <t xml:space="preserve">VLM-036</t>
  </si>
  <si>
    <t xml:space="preserve">Data Center Rack Documentation &amp; Asset Auditor</t>
  </si>
  <si>
    <t xml:space="preserve">IT ops teams struggle to keep accurate, current asset inventories of what's physically installed in data-center racks.</t>
  </si>
  <si>
    <t xml:space="preserve">Technicians manually walk racks with clipboards or barcode scanners to audit installed hardware.</t>
  </si>
  <si>
    <t xml:space="preserve">VLM analyzes rack photos to auto-identify installed hardware models, cabling, and label compliance.</t>
  </si>
  <si>
    <t xml:space="preserve">Improves asset-inventory accuracy and speeds up compliance audits and capacity planning.</t>
  </si>
  <si>
    <t xml:space="preserve">Custom data-center rack imagery</t>
  </si>
  <si>
    <t xml:space="preserve">Data center operator partners</t>
  </si>
  <si>
    <t xml:space="preserve">Rack photos</t>
  </si>
  <si>
    <t xml:space="preserve">~10K rack images</t>
  </si>
  <si>
    <t xml:space="preserve">Data Center Technician, IT Asset Manager, Security Auditor</t>
  </si>
  <si>
    <t xml:space="preserve">Hardware model recognition, cable-labeling compliance check, inventory reconciliation</t>
  </si>
  <si>
    <t xml:space="preserve">Capacity-planning forecasting, unauthorized-hardware detection</t>
  </si>
  <si>
    <t xml:space="preserve">CMDB/ITSM integration, compliance audit export, multi-datacenter dashboard</t>
  </si>
  <si>
    <t xml:space="preserve">SOC2, ISO 27001 asset management controls</t>
  </si>
  <si>
    <t xml:space="preserve">Hardware-recognition accuracy, inventory-discrepancy detection rate</t>
  </si>
  <si>
    <t xml:space="preserve">Enterprise SaaS licensing to data-center operators/colocation providers</t>
  </si>
  <si>
    <t xml:space="preserve">VLM-037</t>
  </si>
  <si>
    <t xml:space="preserve">Handwritten Exam Grading &amp; Feedback Assistant</t>
  </si>
  <si>
    <t xml:space="preserve">Teachers spend enormous unpaid hours manually grading handwritten exams and providing individualized feedback.</t>
  </si>
  <si>
    <t xml:space="preserve">Teachers manually read and grade each handwritten answer sheet, writing comments by hand.</t>
  </si>
  <si>
    <t xml:space="preserve">VLM reads handwritten answers, grades against rubrics, and generates personalized feedback comments.</t>
  </si>
  <si>
    <t xml:space="preserve">Frees teacher time for instruction and provides faster, more consistent feedback to students.</t>
  </si>
  <si>
    <t xml:space="preserve">Custom handwritten exam corpus + IAM handwriting dataset</t>
  </si>
  <si>
    <t xml:space="preserve">IAM (public) + school partners</t>
  </si>
  <si>
    <t xml:space="preserve">Scanned handwritten exams</t>
  </si>
  <si>
    <t xml:space="preserve">~50K answer sheets</t>
  </si>
  <si>
    <t xml:space="preserve">Teacher, Student, School Administrator, Parent</t>
  </si>
  <si>
    <t xml:space="preserve">Handwriting OCR, rubric-based scoring, feedback comment generation</t>
  </si>
  <si>
    <t xml:space="preserve">Plagiarism/similarity cross-check, learning-gap diagnostic reports</t>
  </si>
  <si>
    <t xml:space="preserve">LMS integration (Canvas/Google Classroom), gradebook sync, district-level analytics</t>
  </si>
  <si>
    <t xml:space="preserve">Student data minimization, encryption at rest/in transit, role-based access control, parental-consent workflows</t>
  </si>
  <si>
    <t xml:space="preserve">FERPA, COPPA (for K-12 data)</t>
  </si>
  <si>
    <t xml:space="preserve">Grading accuracy vs teacher scores, feedback-quality rating, time-saved per teacher</t>
  </si>
  <si>
    <t xml:space="preserve">Per-student/school-district SaaS subscription</t>
  </si>
  <si>
    <t xml:space="preserve">VLM-038</t>
  </si>
  <si>
    <t xml:space="preserve">Classroom Engagement &amp; Accessibility Analyzer</t>
  </si>
  <si>
    <t xml:space="preserve">Teachers lack objective tools to assess classroom engagement or identify students needing additional support.</t>
  </si>
  <si>
    <t xml:space="preserve">Teachers rely on subjective observation during lessons to gauge student engagement.</t>
  </si>
  <si>
    <t xml:space="preserve">VLM analyzes (opt-in, privacy-controlled) classroom video to gauge aggregate engagement patterns and flag accessibility barriers.</t>
  </si>
  <si>
    <t xml:space="preserve">Helps teachers adapt instruction in real time and supports inclusive classroom design.</t>
  </si>
  <si>
    <t xml:space="preserve">Custom classroom video (aggregate/anonymized)</t>
  </si>
  <si>
    <t xml:space="preserve">School district pilot partners</t>
  </si>
  <si>
    <t xml:space="preserve">Classroom video (anonymized/aggregated)</t>
  </si>
  <si>
    <t xml:space="preserve">~1K hours video</t>
  </si>
  <si>
    <t xml:space="preserve">Teacher, Instructional Coach, School Administrator</t>
  </si>
  <si>
    <t xml:space="preserve">Aggregate engagement scoring, attention-pattern heatmaps, accessibility flagging</t>
  </si>
  <si>
    <t xml:space="preserve">Instructional-strategy recommendation engine, longitudinal engagement trends</t>
  </si>
  <si>
    <t xml:space="preserve">LMS/SIS integration, district privacy-compliance controls, opt-in parental consent workflow</t>
  </si>
  <si>
    <t xml:space="preserve">FERPA, COPPA, student biometric privacy laws</t>
  </si>
  <si>
    <t xml:space="preserve">Correlation of engagement scores with learning outcomes, teacher-adoption rate</t>
  </si>
  <si>
    <t xml:space="preserve">District-level annual SaaS licensing</t>
  </si>
  <si>
    <t xml:space="preserve">VLM-039</t>
  </si>
  <si>
    <t xml:space="preserve">STEM Lab Diagram &amp; Worksheet Auto-Grader</t>
  </si>
  <si>
    <t xml:space="preserve">STEM teachers struggle to efficiently grade diagram-based answers (circuits, graphs, chemical structures) at scale.</t>
  </si>
  <si>
    <t xml:space="preserve">Teachers manually inspect student-drawn diagrams against answer keys one by one.</t>
  </si>
  <si>
    <t xml:space="preserve">VLM interprets student-drawn diagrams/graphs against answer keys and auto-scores structural correctness.</t>
  </si>
  <si>
    <t xml:space="preserve">Enables scalable STEM assessment and immediate diagram-specific feedback for students.</t>
  </si>
  <si>
    <t xml:space="preserve">Custom STEM worksheet/diagram corpus</t>
  </si>
  <si>
    <t xml:space="preserve">School/university partners</t>
  </si>
  <si>
    <t xml:space="preserve">Scanned worksheets with diagrams</t>
  </si>
  <si>
    <t xml:space="preserve">~30K worksheets</t>
  </si>
  <si>
    <t xml:space="preserve">Teacher, Student, Curriculum Coordinator</t>
  </si>
  <si>
    <t xml:space="preserve">Diagram structure recognition, correctness scoring, misconception tagging</t>
  </si>
  <si>
    <t xml:space="preserve">Adaptive practice-problem generation based on error patterns</t>
  </si>
  <si>
    <t xml:space="preserve">LMS integration, adaptive-learning platform sync, teacher dashboard analytics</t>
  </si>
  <si>
    <t xml:space="preserve">FERPA</t>
  </si>
  <si>
    <t xml:space="preserve">Scoring agreement with teacher grading, misconception-detection accuracy</t>
  </si>
  <si>
    <t xml:space="preserve">Per-classroom/school SaaS subscription</t>
  </si>
  <si>
    <t xml:space="preserve">VLM-040</t>
  </si>
  <si>
    <t xml:space="preserve">University Campus Accessibility Mapping Tool</t>
  </si>
  <si>
    <t xml:space="preserve">Universities struggle to maintain accurate, current accessibility maps (ramps, elevators, obstacles) for students with disabilities.</t>
  </si>
  <si>
    <t xml:space="preserve">Facilities staff manually survey buildings periodically to update accessibility documentation.</t>
  </si>
  <si>
    <t xml:space="preserve">VLM analyzes campus imagery/video to auto-detect and map accessibility features and obstructions.</t>
  </si>
  <si>
    <t xml:space="preserve">Improves compliance with disability access laws and student navigation experience.</t>
  </si>
  <si>
    <t xml:space="preserve">Custom campus imagery dataset</t>
  </si>
  <si>
    <t xml:space="preserve">University facilities partners</t>
  </si>
  <si>
    <t xml:space="preserve">Campus building photos/video</t>
  </si>
  <si>
    <t xml:space="preserve">~15K images</t>
  </si>
  <si>
    <t xml:space="preserve">Student with Disabilities, Facilities Manager, ADA Compliance Officer</t>
  </si>
  <si>
    <t xml:space="preserve">Ramp/elevator/obstacle detection, accessibility map generation, obstruction alerting</t>
  </si>
  <si>
    <t xml:space="preserve">Real-time navigation-app integration, seasonal hazard tracking (ice/construction)</t>
  </si>
  <si>
    <t xml:space="preserve">Campus GIS integration, mobile accessibility app, facilities work-order system</t>
  </si>
  <si>
    <t xml:space="preserve">ADA, Section 504 compliance</t>
  </si>
  <si>
    <t xml:space="preserve">Feature-detection accuracy, map-completeness score, compliance audit pass rate</t>
  </si>
  <si>
    <t xml:space="preserve">University enterprise licensing (per-campus annual fee)</t>
  </si>
  <si>
    <t xml:space="preserve">VLM-041</t>
  </si>
  <si>
    <t xml:space="preserve">Contract Clause Extraction &amp; Risk Flagging Engine</t>
  </si>
  <si>
    <t xml:space="preserve">Law firms and corporate legal teams spend excessive billable hours manually reviewing scanned contracts for risky clauses.</t>
  </si>
  <si>
    <t xml:space="preserve">Attorneys manually read through scanned/PDF contracts highlighting clauses of concern.</t>
  </si>
  <si>
    <t xml:space="preserve">VLM reads scanned/PDF contracts (including tables/signatures) to extract clauses and flag non-standard risk terms.</t>
  </si>
  <si>
    <t xml:space="preserve">Cuts contract-review time significantly and reduces missed liability risks.</t>
  </si>
  <si>
    <t xml:space="preserve">CUAD (Contract Understanding Atticus Dataset)</t>
  </si>
  <si>
    <t xml:space="preserve">CUAD (public)</t>
  </si>
  <si>
    <t xml:space="preserve">Scanned/PDF contracts</t>
  </si>
  <si>
    <t xml:space="preserve">~13K contracts</t>
  </si>
  <si>
    <t xml:space="preserve">Attorney, Paralegal, General Counsel, Contract Manager</t>
  </si>
  <si>
    <t xml:space="preserve">Clause extraction, risk-term flagging, redline comparison to playbook</t>
  </si>
  <si>
    <t xml:space="preserve">Precedent-clause benchmarking, negotiation-position recommendation</t>
  </si>
  <si>
    <t xml:space="preserve">Document management system (iManage/NetDocuments) integration, matter-management workflow, e-signature audit trail</t>
  </si>
  <si>
    <t xml:space="preserve">Attorney-client privilege safeguards, encryption at rest/in transit, strict role-based access control, immutable audit trail</t>
  </si>
  <si>
    <t xml:space="preserve">Attorney-client privilege/data-security requirements</t>
  </si>
  <si>
    <t xml:space="preserve">Clause-extraction F1, risk-flag precision/recall, review-time reduction</t>
  </si>
  <si>
    <t xml:space="preserve">Per-seat SaaS licensing to law firms and corporate legal departments</t>
  </si>
  <si>
    <t xml:space="preserve">VLM-042</t>
  </si>
  <si>
    <t xml:space="preserve">Courtroom Exhibit &amp; Evidence Image Analyzer</t>
  </si>
  <si>
    <t xml:space="preserve">Litigation teams spend significant time manually cataloging and cross-referencing thousands of image/video evidence exhibits.</t>
  </si>
  <si>
    <t xml:space="preserve">Paralegals manually review and tag each exhibit image/video for relevance and privilege.</t>
  </si>
  <si>
    <t xml:space="preserve">VLM auto-tags, categorizes, and cross-references image/video evidence exhibits with case-relevant metadata.</t>
  </si>
  <si>
    <t xml:space="preserve">Speeds up e-discovery review and reduces litigation support costs significantly.</t>
  </si>
  <si>
    <t xml:space="preserve">Custom litigation exhibit corpus (synthetic/redacted)</t>
  </si>
  <si>
    <t xml:space="preserve">Law firm partners (privileged, redacted)</t>
  </si>
  <si>
    <t xml:space="preserve">Photo/video exhibits</t>
  </si>
  <si>
    <t xml:space="preserve">~20K exhibits</t>
  </si>
  <si>
    <t xml:space="preserve">Paralegal, Litigation Attorney, E-Discovery Manager</t>
  </si>
  <si>
    <t xml:space="preserve">Object/scene tagging, privilege-flag detection, cross-exhibit relevance linking</t>
  </si>
  <si>
    <t xml:space="preserve">Timeline reconstruction from exhibit metadata, deposition-prep summary generation</t>
  </si>
  <si>
    <t xml:space="preserve">E-discovery platform (Relativity) integration, privilege log automation, chain-of-custody logging</t>
  </si>
  <si>
    <t xml:space="preserve">Attorney-client privilege, FRCP e-discovery rules</t>
  </si>
  <si>
    <t xml:space="preserve">Tagging accuracy, privilege-flag recall, review-cost reduction</t>
  </si>
  <si>
    <t xml:space="preserve">Per-matter/per-GB e-discovery processing fee</t>
  </si>
  <si>
    <t xml:space="preserve">VLM-043</t>
  </si>
  <si>
    <t xml:space="preserve">Notarized Document Authenticity Verifier</t>
  </si>
  <si>
    <t xml:space="preserve">Title companies and notaries face fraud risk from forged signatures, seals, and altered notarized documents.</t>
  </si>
  <si>
    <t xml:space="preserve">Notaries/title officers manually inspect seals and signatures for authenticity.</t>
  </si>
  <si>
    <t xml:space="preserve">VLM cross-checks notary seal, signature, and document layout against registered notary databases for tampering signs.</t>
  </si>
  <si>
    <t xml:space="preserve">Reduces real-estate/title fraud losses and speeds up closing verification.</t>
  </si>
  <si>
    <t xml:space="preserve">Custom notarized-document corpus (synthetic forgeries)</t>
  </si>
  <si>
    <t xml:space="preserve">Title company partners + synthetic generation</t>
  </si>
  <si>
    <t xml:space="preserve">Scanned notarized documents</t>
  </si>
  <si>
    <t xml:space="preserve">~25K documents</t>
  </si>
  <si>
    <t xml:space="preserve">Notary, Title Officer, Escrow Agent, Fraud Investigator</t>
  </si>
  <si>
    <t xml:space="preserve">Seal/signature verification, tamper detection, notary-registry cross-check</t>
  </si>
  <si>
    <t xml:space="preserve">Cross-document consistency graph across a closing package, real-time e-closing integration</t>
  </si>
  <si>
    <t xml:space="preserve">Title/escrow platform integration, state notary database API, audit-trail logging</t>
  </si>
  <si>
    <t xml:space="preserve">State notary law, RESPA, UETA/ESIGN Act</t>
  </si>
  <si>
    <t xml:space="preserve">Tamper-detection precision/recall, false-positive rate on legitimate documents</t>
  </si>
  <si>
    <t xml:space="preserve">Per-document verification fee to title companies and escrow platforms</t>
  </si>
  <si>
    <t xml:space="preserve">VLM-044</t>
  </si>
  <si>
    <t xml:space="preserve">Legal Aid Multilingual Intake Vision Assistant</t>
  </si>
  <si>
    <t xml:space="preserve">Underserved communities struggle to get legal aid intake processed due to language barriers and complex paperwork.</t>
  </si>
  <si>
    <t xml:space="preserve">Legal aid staff manually interview and transcribe intake information across language barriers.</t>
  </si>
  <si>
    <t xml:space="preserve">VLM reads photographed intake documents in multiple languages and structures them into case-management format automatically.</t>
  </si>
  <si>
    <t xml:space="preserve">Expands legal aid capacity to serve more underserved clients with limited staff resources.</t>
  </si>
  <si>
    <t xml:space="preserve">Custom multilingual intake document corpus</t>
  </si>
  <si>
    <t xml:space="preserve">Legal aid organization partners</t>
  </si>
  <si>
    <t xml:space="preserve">Photographed intake forms</t>
  </si>
  <si>
    <t xml:space="preserve">~15K forms, 10+ languages</t>
  </si>
  <si>
    <t xml:space="preserve">Legal Aid Client, Intake Coordinator, Staff Attorney</t>
  </si>
  <si>
    <t xml:space="preserve">Multilingual OCR, form-field structuring, case-type classification</t>
  </si>
  <si>
    <t xml:space="preserve">Eligibility-screening automation, referral routing to specialized attorneys</t>
  </si>
  <si>
    <t xml:space="preserve">Legal aid case-management system integration, translation-memory reuse, funder impact reporting</t>
  </si>
  <si>
    <t xml:space="preserve">Legal aid confidentiality standards, data privacy law</t>
  </si>
  <si>
    <t xml:space="preserve">Field-extraction accuracy across languages, intake-time reduction, case-routing accuracy</t>
  </si>
  <si>
    <t xml:space="preserve">Grant-funded nonprofit licensing + foundation-sponsored enterprise deployment</t>
  </si>
  <si>
    <t xml:space="preserve">VLM-045</t>
  </si>
  <si>
    <t xml:space="preserve">Warehouse Damage &amp; Quality Inspection Robot Vision</t>
  </si>
  <si>
    <t xml:space="preserve">Warehouses ship damaged goods due to inconsistent manual inspection during high-volume picking/packing.</t>
  </si>
  <si>
    <t xml:space="preserve">Warehouse staff visually spot-check a sample of items before shipment.</t>
  </si>
  <si>
    <t xml:space="preserve">VLM inspects items/packages on the line for damage, mislabeling, and quality defects before shipment.</t>
  </si>
  <si>
    <t xml:space="preserve">Reduces damaged-shipment returns and associated customer-service/refund costs.</t>
  </si>
  <si>
    <t xml:space="preserve">Custom warehouse conveyor imagery</t>
  </si>
  <si>
    <t xml:space="preserve">3PL/warehouse partners</t>
  </si>
  <si>
    <t xml:space="preserve">Conveyor-belt camera images</t>
  </si>
  <si>
    <t xml:space="preserve">~25K labeled images</t>
  </si>
  <si>
    <t xml:space="preserve">Warehouse Associate, Quality Manager, 3PL Operations</t>
  </si>
  <si>
    <t xml:space="preserve">Damage/defect detection, label-mismatch flagging, pass/fail routing</t>
  </si>
  <si>
    <t xml:space="preserve">Root-cause correlation with handling equipment, vendor-quality scorecarding</t>
  </si>
  <si>
    <t xml:space="preserve">WMS integration, robotic-arm sorting trigger, multi-warehouse dashboard</t>
  </si>
  <si>
    <t xml:space="preserve">Chain-of-custody integrity, encryption in transit, role-based access control, tamper-evident event logging</t>
  </si>
  <si>
    <t xml:space="preserve">Defect detection mAP, false-reject rate, return-rate reduction</t>
  </si>
  <si>
    <t xml:space="preserve">Per-facility hardware+software subscription to 3PLs and retailers</t>
  </si>
  <si>
    <t xml:space="preserve">VLM-046</t>
  </si>
  <si>
    <t xml:space="preserve">Port Container &amp; Cargo Damage Documentation System</t>
  </si>
  <si>
    <t xml:space="preserve">Ports and shipping lines face costly disputes over container/cargo damage liability due to inconsistent documentation.</t>
  </si>
  <si>
    <t xml:space="preserve">Port inspectors manually photograph and write up container condition reports at handoff points.</t>
  </si>
  <si>
    <t xml:space="preserve">VLM auto-documents container condition at each handoff point, flagging new damage and generating liability reports.</t>
  </si>
  <si>
    <t xml:space="preserve">Reduces cargo-damage dispute costs and speeds up insurance claim resolution between carriers.</t>
  </si>
  <si>
    <t xml:space="preserve">Custom port terminal imagery</t>
  </si>
  <si>
    <t xml:space="preserve">Port authority/shipping line partners</t>
  </si>
  <si>
    <t xml:space="preserve">Terminal gate camera images</t>
  </si>
  <si>
    <t xml:space="preserve">~40K container images</t>
  </si>
  <si>
    <t xml:space="preserve">Port Inspector, Shipping Line Ops, Cargo Insurer</t>
  </si>
  <si>
    <t xml:space="preserve">Damage detection, condition-change tracking across handoffs, auto-report generation</t>
  </si>
  <si>
    <t xml:space="preserve">Liability-attribution modeling across custody chain, predictive damage-risk by route</t>
  </si>
  <si>
    <t xml:space="preserve">Terminal operating system (TOS) integration, insurer/claims API, multi-port network dashboard</t>
  </si>
  <si>
    <t xml:space="preserve">International maritime cargo liability conventions (Hague-Visby, etc.)</t>
  </si>
  <si>
    <t xml:space="preserve">Damage-detection accuracy, dispute-resolution time reduction, false-positive rate</t>
  </si>
  <si>
    <t xml:space="preserve">Per-container inspection fee to port authorities and shipping lines</t>
  </si>
  <si>
    <t xml:space="preserve">VLM-047</t>
  </si>
  <si>
    <t xml:space="preserve">Last-Mile Delivery Proof-of-Delivery Verifier</t>
  </si>
  <si>
    <t xml:space="preserve">Delivery companies face high rates of disputed 'item not received' claims and porch-piracy fraud.</t>
  </si>
  <si>
    <t xml:space="preserve">Drivers snap a photo at delivery with no automated verification of accuracy or fraud.</t>
  </si>
  <si>
    <t xml:space="preserve">VLM verifies delivery photos show correct address, package condition, and safe placement, flagging risky drop-offs.</t>
  </si>
  <si>
    <t xml:space="preserve">Reduces fraudulent claim payouts and improves delivery-dispute resolution speed.</t>
  </si>
  <si>
    <t xml:space="preserve">Custom last-mile delivery photo corpus</t>
  </si>
  <si>
    <t xml:space="preserve">Delivery/courier partners</t>
  </si>
  <si>
    <t xml:space="preserve">Driver-app delivery photos</t>
  </si>
  <si>
    <t xml:space="preserve">~60K delivery photos</t>
  </si>
  <si>
    <t xml:space="preserve">Delivery Driver, Customer, Claims Analyst</t>
  </si>
  <si>
    <t xml:space="preserve">Address/package verification, placement-risk scoring, dispute-evidence packaging</t>
  </si>
  <si>
    <t xml:space="preserve">Porch-piracy risk prediction by location/time, weather-related damage risk flagging</t>
  </si>
  <si>
    <t xml:space="preserve">Courier dispatch app integration, claims-management system, customer-facing delivery confirmation</t>
  </si>
  <si>
    <t xml:space="preserve">Consumer protection regulations</t>
  </si>
  <si>
    <t xml:space="preserve">Verification accuracy, dispute-resolution time reduction, fraud-claim reduction %</t>
  </si>
  <si>
    <t xml:space="preserve">Per-delivery micro-transaction fee to logistics/courier companies</t>
  </si>
  <si>
    <t xml:space="preserve">VLM-048</t>
  </si>
  <si>
    <t xml:space="preserve">Cold Chain Visual Compliance Monitor</t>
  </si>
  <si>
    <t xml:space="preserve">Pharmaceutical and food cold-chain shipments risk spoilage from undetected packaging/temperature-indicator failures.</t>
  </si>
  <si>
    <t xml:space="preserve">Handlers manually check temperature-indicator stickers and packaging integrity at each transfer point.</t>
  </si>
  <si>
    <t xml:space="preserve">VLM reads temperature-indicator strips and inspects packaging integrity via photo at each cold-chain handoff.</t>
  </si>
  <si>
    <t xml:space="preserve">Reduces spoilage losses and strengthens regulatory compliance evidence for pharma/food shippers.</t>
  </si>
  <si>
    <t xml:space="preserve">Custom cold-chain indicator/packaging imagery</t>
  </si>
  <si>
    <t xml:space="preserve">Pharma/food logistics partners</t>
  </si>
  <si>
    <t xml:space="preserve">Handoff-point photos</t>
  </si>
  <si>
    <t xml:space="preserve">~20K handoff images</t>
  </si>
  <si>
    <t xml:space="preserve">Logistics Handler, QA/Compliance Officer, Pharma Manufacturer</t>
  </si>
  <si>
    <t xml:space="preserve">Temperature-indicator reading, packaging-integrity check, chain-of-custody logging</t>
  </si>
  <si>
    <t xml:space="preserve">Predictive spoilage-risk modeling, automated recall-scope estimation</t>
  </si>
  <si>
    <t xml:space="preserve">WMS/ERP integration, GxP audit-trail compliance, multi-carrier network dashboard</t>
  </si>
  <si>
    <t xml:space="preserve">GxP/GDP cold-chain regulations, FDA/EMA requirements</t>
  </si>
  <si>
    <t xml:space="preserve">Indicator-reading accuracy, integrity-detection recall, spoilage-loss reduction</t>
  </si>
  <si>
    <t xml:space="preserve">Per-shipment compliance-monitoring fee to pharma/food logistics companies</t>
  </si>
  <si>
    <t xml:space="preserve">VLM-049</t>
  </si>
  <si>
    <t xml:space="preserve">Power Line &amp; Transmission Tower Inspection AI</t>
  </si>
  <si>
    <t xml:space="preserve">Utilities face wildfire and outage risk from undetected transmission infrastructure damage across vast service territories.</t>
  </si>
  <si>
    <t xml:space="preserve">Linemen conduct manual or helicopter visual inspections on fixed multi-year cycles.</t>
  </si>
  <si>
    <t xml:space="preserve">VLM analyzes drone/helicopter imagery of transmission towers and lines to detect corrosion, vegetation encroachment, and hardware failure.</t>
  </si>
  <si>
    <t xml:space="preserve">Reduces wildfire ignition risk and unplanned outage costs through earlier defect detection.</t>
  </si>
  <si>
    <t xml:space="preserve">InsPLAD + custom utility drone imagery</t>
  </si>
  <si>
    <t xml:space="preserve">InsPLAD (public) + utility partners</t>
  </si>
  <si>
    <t xml:space="preserve">Drone/aerial transmission imagery</t>
  </si>
  <si>
    <t xml:space="preserve">~30K component images</t>
  </si>
  <si>
    <t xml:space="preserve">Lineman, Reliability Engineer, Utility Asset Manager, Regulator</t>
  </si>
  <si>
    <t xml:space="preserve">Component defect classification, vegetation-encroachment detection, corrosion severity scoring</t>
  </si>
  <si>
    <t xml:space="preserve">Wildfire-risk scoring integration, predictive maintenance scheduling</t>
  </si>
  <si>
    <t xml:space="preserve">GIS/asset-management integration, regulator wildfire-mitigation reporting, multi-region fleet dashboards</t>
  </si>
  <si>
    <t xml:space="preserve">Critical-infrastructure network segmentation, encryption at rest/in transit, role-based access control, NERC-CIP-aligned logging</t>
  </si>
  <si>
    <t xml:space="preserve">NERC reliability standards, state wildfire-mitigation regulations</t>
  </si>
  <si>
    <t xml:space="preserve">Defect-detection mAP, false-negative rate on critical defects, outage-reduction %</t>
  </si>
  <si>
    <t xml:space="preserve">Per-mile inspection contract + annual asset-monitoring SaaS to utilities</t>
  </si>
  <si>
    <t xml:space="preserve">VLM-050</t>
  </si>
  <si>
    <t xml:space="preserve">Solar Panel &amp; Wind Turbine Defect Inspector</t>
  </si>
  <si>
    <t xml:space="preserve">Renewable energy operators lose generation efficiency from undetected panel soiling, micro-cracks, and blade damage.</t>
  </si>
  <si>
    <t xml:space="preserve">Technicians manually inspect panels/blades on fixed schedules using visual checklists.</t>
  </si>
  <si>
    <t xml:space="preserve">VLM analyzes drone/thermal imagery of solar panels and turbine blades to detect cracks, hotspots, and erosion.</t>
  </si>
  <si>
    <t xml:space="preserve">Improves energy-generation efficiency and reduces unplanned maintenance costs for renewable operators.</t>
  </si>
  <si>
    <t xml:space="preserve">Custom solar/turbine thermal+RGB imagery</t>
  </si>
  <si>
    <t xml:space="preserve">Renewable operator partners</t>
  </si>
  <si>
    <t xml:space="preserve">Drone thermal + RGB imagery</t>
  </si>
  <si>
    <t xml:space="preserve">~15K component images</t>
  </si>
  <si>
    <t xml:space="preserve">Field Technician, Asset Manager, Plant Operator</t>
  </si>
  <si>
    <t xml:space="preserve">Hotspot/crack detection, soiling-level estimation, blade-erosion scoring</t>
  </si>
  <si>
    <t xml:space="preserve">Generation-loss estimation from defects, maintenance-priority ranking across fleet</t>
  </si>
  <si>
    <t xml:space="preserve">SCADA integration, fleet-wide performance dashboard, warranty-claim documentation</t>
  </si>
  <si>
    <t xml:space="preserve">IEC renewable-energy inspection standards</t>
  </si>
  <si>
    <t xml:space="preserve">Defect-detection precision/recall, generation-loss estimate accuracy</t>
  </si>
  <si>
    <t xml:space="preserve">Per-site inspection contract + fleet monitoring SaaS to renewable operators</t>
  </si>
  <si>
    <t xml:space="preserve">VLM-051</t>
  </si>
  <si>
    <t xml:space="preserve">Utility Meter Reading &amp; Tamper Detection System</t>
  </si>
  <si>
    <t xml:space="preserve">Utilities lose revenue from meter tampering and inaccurate manual meter reads in areas without smart meters.</t>
  </si>
  <si>
    <t xml:space="preserve">Meter readers manually visit and photograph analog/digital meters for billing.</t>
  </si>
  <si>
    <t xml:space="preserve">VLM reads meter values from photos and detects tampering signs (broken seals, reversed meters) automatically.</t>
  </si>
  <si>
    <t xml:space="preserve">Reduces non-technical revenue loss and manual meter-reading labor costs.</t>
  </si>
  <si>
    <t xml:space="preserve">Custom utility meter imagery</t>
  </si>
  <si>
    <t xml:space="preserve">Utility partners</t>
  </si>
  <si>
    <t xml:space="preserve">Meter photo images</t>
  </si>
  <si>
    <t xml:space="preserve">~50K meter images</t>
  </si>
  <si>
    <t xml:space="preserve">Meter Reader, Revenue Protection Officer, Utility Billing Dept</t>
  </si>
  <si>
    <t xml:space="preserve">Digit/dial reading extraction, seal-tamper detection, billing-anomaly flagging</t>
  </si>
  <si>
    <t xml:space="preserve">Consumption-pattern fraud modeling, automated field-crew dispatch for tamper cases</t>
  </si>
  <si>
    <t xml:space="preserve">Billing system integration, revenue-protection case management, mobile field-app</t>
  </si>
  <si>
    <t xml:space="preserve">State utility regulatory commission rules</t>
  </si>
  <si>
    <t xml:space="preserve">Reading accuracy (digit error rate), tamper-detection precision/recall</t>
  </si>
  <si>
    <t xml:space="preserve">Per-meter processing fee to utility companies</t>
  </si>
  <si>
    <t xml:space="preserve">VLM-052</t>
  </si>
  <si>
    <t xml:space="preserve">Oil &amp; Gas Pipeline Corrosion Monitoring Platform</t>
  </si>
  <si>
    <t xml:space="preserve">Pipeline operators face catastrophic leak/explosion risk from undetected corrosion across thousands of miles of pipeline.</t>
  </si>
  <si>
    <t xml:space="preserve">Inspectors manually walk or fly pipeline routes on fixed schedules with visual/instrument checks.</t>
  </si>
  <si>
    <t xml:space="preserve">VLM analyzes aerial/crawler-robot imagery to detect corrosion, coating failure, and leak indicators along pipeline routes.</t>
  </si>
  <si>
    <t xml:space="preserve">Reduces catastrophic failure risk and enables risk-based inspection scheduling for pipeline operators.</t>
  </si>
  <si>
    <t xml:space="preserve">Custom pipeline inspection imagery</t>
  </si>
  <si>
    <t xml:space="preserve">Pipeline operator partners</t>
  </si>
  <si>
    <t xml:space="preserve">Aerial/crawler robot imagery</t>
  </si>
  <si>
    <t xml:space="preserve">~20K inspection images</t>
  </si>
  <si>
    <t xml:space="preserve">Pipeline Inspector, Integrity Engineer, Regulator</t>
  </si>
  <si>
    <t xml:space="preserve">Corrosion/coating-failure detection, leak-indicator flagging, severity mapping</t>
  </si>
  <si>
    <t xml:space="preserve">Integrity-management risk modeling, predictive failure-time estimation</t>
  </si>
  <si>
    <t xml:space="preserve">Pipeline integrity-management system integration, PHMSA regulatory reporting, GIS route mapping</t>
  </si>
  <si>
    <t xml:space="preserve">PHMSA pipeline safety regulations</t>
  </si>
  <si>
    <t xml:space="preserve">Defect-detection recall (safety-critical), false-negative rate, inspection-cost reduction</t>
  </si>
  <si>
    <t xml:space="preserve">Enterprise annual monitoring contract to pipeline operators</t>
  </si>
  <si>
    <t xml:space="preserve">VLM-053</t>
  </si>
  <si>
    <t xml:space="preserve">Aircraft Skin Damage Inspection Vision System</t>
  </si>
  <si>
    <t xml:space="preserve">Airlines face costly ground-time from slow manual visual inspections for aircraft skin damage (dents, lightning strikes, corrosion).</t>
  </si>
  <si>
    <t xml:space="preserve">Maintenance crews manually walk around aircraft with flashlights and checklists during turnaround.</t>
  </si>
  <si>
    <t xml:space="preserve">VLM analyzes drone/fixed-camera imagery of aircraft exteriors to detect and classify skin damage automatically.</t>
  </si>
  <si>
    <t xml:space="preserve">Reduces aircraft ground-time and improves detection consistency versus manual visual inspection.</t>
  </si>
  <si>
    <t xml:space="preserve">Custom aircraft hangar imagery</t>
  </si>
  <si>
    <t xml:space="preserve">Airline MRO partners</t>
  </si>
  <si>
    <t xml:space="preserve">Hangar drone/camera imagery</t>
  </si>
  <si>
    <t xml:space="preserve">~10K damage-labeled images</t>
  </si>
  <si>
    <t xml:space="preserve">Aircraft Maintenance Technician, MRO Manager, Airworthiness Inspector</t>
  </si>
  <si>
    <t xml:space="preserve">Dent/crack/corrosion classification, damage-size measurement, maintenance-log auto-entry</t>
  </si>
  <si>
    <t xml:space="preserve">Fatigue-risk correlation with flight-cycle history, predictive part-replacement scheduling</t>
  </si>
  <si>
    <t xml:space="preserve">MRO system integration, FAA/EASA airworthiness documentation, multi-aircraft fleet dashboard</t>
  </si>
  <si>
    <t xml:space="preserve">ITAR-aware access segmentation, encryption at rest/in transit, strict role-based access control, safety-critical audit trail</t>
  </si>
  <si>
    <t xml:space="preserve">FAA/EASA airworthiness directives, Part 145 MRO regulations</t>
  </si>
  <si>
    <t xml:space="preserve">Damage-detection recall (safety-critical), measurement accuracy, ground-time reduction</t>
  </si>
  <si>
    <t xml:space="preserve">Per-aircraft inspection contract to airlines and MRO providers</t>
  </si>
  <si>
    <t xml:space="preserve">VLM-054</t>
  </si>
  <si>
    <t xml:space="preserve">Satellite Imagery Anomaly &amp; Change Detection Platform</t>
  </si>
  <si>
    <t xml:space="preserve">Satellite operators and defense agencies need to detect subtle changes (construction, deforestation, military movement) across vast imagery archives.</t>
  </si>
  <si>
    <t xml:space="preserve">Analysts manually compare satellite images side-by-side to spot changes.</t>
  </si>
  <si>
    <t xml:space="preserve">VLM performs automated change-detection and anomaly reasoning across time-series satellite imagery.</t>
  </si>
  <si>
    <t xml:space="preserve">Speeds up geospatial intelligence analysis and enables monitoring at a scale impossible manually.</t>
  </si>
  <si>
    <t xml:space="preserve">xView2 + SpaceNet datasets</t>
  </si>
  <si>
    <t xml:space="preserve">xView2/SpaceNet (public)</t>
  </si>
  <si>
    <t xml:space="preserve">Satellite imagery time-series</t>
  </si>
  <si>
    <t xml:space="preserve">~50K image pairs</t>
  </si>
  <si>
    <t xml:space="preserve">Geospatial Analyst, Defense/Intelligence Agency, Commercial Satellite Operator</t>
  </si>
  <si>
    <t xml:space="preserve">Change-detection heatmaps, object classification, natural-language change summaries</t>
  </si>
  <si>
    <t xml:space="preserve">Multi-source fusion (SAR + optical), anomaly-alert prioritization for analysts</t>
  </si>
  <si>
    <t xml:space="preserve">GEOINT platform integration, classified/on-prem deployment options, multi-tenant analyst dashboards</t>
  </si>
  <si>
    <t xml:space="preserve">ITAR/export-control regulations, classified-data handling standards</t>
  </si>
  <si>
    <t xml:space="preserve">Change-detection F1, false-alarm rate, analyst time-savings</t>
  </si>
  <si>
    <t xml:space="preserve">Government/enterprise contract licensing + per-image-tile processing fee</t>
  </si>
  <si>
    <t xml:space="preserve">VLM-055</t>
  </si>
  <si>
    <t xml:space="preserve">Rocket Launch Pad Visual Anomaly Monitor</t>
  </si>
  <si>
    <t xml:space="preserve">Launch providers need real-time visual monitoring of complex ground systems to catch anomalies before catastrophic failure.</t>
  </si>
  <si>
    <t xml:space="preserve">Engineers manually watch multiple camera feeds during fueling and countdown for visible anomalies.</t>
  </si>
  <si>
    <t xml:space="preserve">VLM continuously monitors launch-pad camera feeds to detect ice buildup, leaks, and structural anomalies pre-launch.</t>
  </si>
  <si>
    <t xml:space="preserve">Reduces launch-scrub risk and improves safety margins during high-stakes countdown operations.</t>
  </si>
  <si>
    <t xml:space="preserve">Custom launch-pad camera footage</t>
  </si>
  <si>
    <t xml:space="preserve">Launch provider partners</t>
  </si>
  <si>
    <t xml:space="preserve">Multi-camera launch-pad video</t>
  </si>
  <si>
    <t xml:space="preserve">~500 hours video</t>
  </si>
  <si>
    <t xml:space="preserve">Launch Engineer, Range Safety Officer, Mission Director</t>
  </si>
  <si>
    <t xml:space="preserve">Ice/leak/anomaly detection, multi-feed correlation, real-time alerting</t>
  </si>
  <si>
    <t xml:space="preserve">Predictive go/no-go risk scoring, historical-anomaly pattern learning across launches</t>
  </si>
  <si>
    <t xml:space="preserve">Mission control system integration, redundant safety-critical deployment, real-time low-latency edge processing</t>
  </si>
  <si>
    <t xml:space="preserve">FAA/NASA range-safety regulations, ITAR</t>
  </si>
  <si>
    <t xml:space="preserve">Anomaly-detection recall (safety-critical), latency, false-alarm rate</t>
  </si>
  <si>
    <t xml:space="preserve">Enterprise contract licensing to commercial launch providers/space agencies</t>
  </si>
  <si>
    <t xml:space="preserve">VLM-056</t>
  </si>
  <si>
    <t xml:space="preserve">Airport Runway Foreign Object Debris (FOD) Detector</t>
  </si>
  <si>
    <t xml:space="preserve">Foreign object debris on runways causes costly aircraft damage and safety incidents if undetected before takeoff/landing.</t>
  </si>
  <si>
    <t xml:space="preserve">Ground crews manually walk runways periodically searching for debris.</t>
  </si>
  <si>
    <t xml:space="preserve">VLM analyzes runway camera/radar-fused imagery to detect foreign object debris in real time and alert ground control.</t>
  </si>
  <si>
    <t xml:space="preserve">Reduces FOD-related aircraft damage incidents and enables continuous rather than periodic runway monitoring.</t>
  </si>
  <si>
    <t xml:space="preserve">Custom FOD imagery dataset</t>
  </si>
  <si>
    <t xml:space="preserve">Airport authority partners</t>
  </si>
  <si>
    <t xml:space="preserve">Runway camera imagery</t>
  </si>
  <si>
    <t xml:space="preserve">~8K FOD-labeled images</t>
  </si>
  <si>
    <t xml:space="preserve">Ground Crew, Air Traffic Controller, Airport Safety Officer</t>
  </si>
  <si>
    <t xml:space="preserve">Debris detection/classification, location mapping, real-time ground-control alerting</t>
  </si>
  <si>
    <t xml:space="preserve">Radar-optical sensor fusion, weather-condition-adaptive detection tuning</t>
  </si>
  <si>
    <t xml:space="preserve">Airport operations system integration, air traffic control alerting, multi-runway dashboard</t>
  </si>
  <si>
    <t xml:space="preserve">FAA Part 139 airport safety regulations</t>
  </si>
  <si>
    <t xml:space="preserve">FOD-detection recall (safety-critical), false-alarm rate, detection latency</t>
  </si>
  <si>
    <t xml:space="preserve">Per-runway annual monitoring contract to airport authorities</t>
  </si>
  <si>
    <t xml:space="preserve">VLM-057</t>
  </si>
  <si>
    <t xml:space="preserve">Passport &amp; ID Document Verification Kiosk</t>
  </si>
  <si>
    <t xml:space="preserve">Border and government service agencies need fast, reliable verification of ID documents against forgery and tampering.</t>
  </si>
  <si>
    <t xml:space="preserve">Officers manually inspect ID documents under UV light and visual checklists.</t>
  </si>
  <si>
    <t xml:space="preserve">VLM cross-checks ID document security features, photo-face match, and layout against known-genuine templates.</t>
  </si>
  <si>
    <t xml:space="preserve">Speeds up border/service processing and reduces document-fraud entry incidents.</t>
  </si>
  <si>
    <t xml:space="preserve">MIDV-500 + custom ID document corpus</t>
  </si>
  <si>
    <t xml:space="preserve">MIDV-500 (public) + government partners</t>
  </si>
  <si>
    <t xml:space="preserve">ID/passport scans</t>
  </si>
  <si>
    <t xml:space="preserve">~40K ID images</t>
  </si>
  <si>
    <t xml:space="preserve">Border Officer, Government Service Clerk, Citizen/Applicant</t>
  </si>
  <si>
    <t xml:space="preserve">Security-feature verification, face-match to photo, field extraction</t>
  </si>
  <si>
    <t xml:space="preserve">Cross-database watchlist matching, multi-country document template library</t>
  </si>
  <si>
    <t xml:space="preserve">Border-control system integration, biometric database linkage, audit-trail logging</t>
  </si>
  <si>
    <t xml:space="preserve">Citizen data protection, encryption at rest/in transit, role-based government access control, FOIA-ready audit trail</t>
  </si>
  <si>
    <t xml:space="preserve">ICAO document standards, biometric privacy law</t>
  </si>
  <si>
    <t xml:space="preserve">Forgery-detection precision/recall, face-match accuracy, processing-time reduction</t>
  </si>
  <si>
    <t xml:space="preserve">Government enterprise contract (per-kiosk/per-agency licensing)</t>
  </si>
  <si>
    <t xml:space="preserve">VLM-058</t>
  </si>
  <si>
    <t xml:space="preserve">Disaster Damage Assessment for Emergency Response</t>
  </si>
  <si>
    <t xml:space="preserve">Emergency management agencies need rapid, accurate damage assessments after disasters to prioritize response resources.</t>
  </si>
  <si>
    <t xml:space="preserve">Field teams manually survey affected areas over days to assess damage extent.</t>
  </si>
  <si>
    <t xml:space="preserve">VLM processes drone/satellite post-disaster imagery to rapidly classify damage severity across affected regions.</t>
  </si>
  <si>
    <t xml:space="preserve">Speeds up resource allocation and federal disaster-aid determination after major events.</t>
  </si>
  <si>
    <t xml:space="preserve">xBD dataset</t>
  </si>
  <si>
    <t xml:space="preserve">xBD (public)</t>
  </si>
  <si>
    <t xml:space="preserve">Pre/post-disaster satellite imagery</t>
  </si>
  <si>
    <t xml:space="preserve">Emergency Manager, First Responder, FEMA Official</t>
  </si>
  <si>
    <t xml:space="preserve">Damage-severity classification, affected-area mapping, resource-priority scoring</t>
  </si>
  <si>
    <t xml:space="preserve">Multi-hazard fusion modeling, real-time responder-routing optimization</t>
  </si>
  <si>
    <t xml:space="preserve">Emergency management system (WebEOC) integration, FEMA reporting export, multi-agency coordination dashboard</t>
  </si>
  <si>
    <t xml:space="preserve">FEMA disaster-response protocols, Stafford Act reporting</t>
  </si>
  <si>
    <t xml:space="preserve">Damage classification accuracy vs ground truth, response-time reduction</t>
  </si>
  <si>
    <t xml:space="preserve">Government contract licensing (federal/state/local agencies)</t>
  </si>
  <si>
    <t xml:space="preserve">VLM-059</t>
  </si>
  <si>
    <t xml:space="preserve">Public Records Digitization &amp; Redaction Assistant</t>
  </si>
  <si>
    <t xml:space="preserve">Government agencies face massive backlogs digitizing and redacting sensitive information from paper archives for public records requests.</t>
  </si>
  <si>
    <t xml:space="preserve">Clerks manually scan documents and hand-redact sensitive information page by page.</t>
  </si>
  <si>
    <t xml:space="preserve">VLM reads scanned documents, identifies sensitive/PII content, and auto-redacts per applicable disclosure rules.</t>
  </si>
  <si>
    <t xml:space="preserve">Clears public-records request backlogs and reduces inadvertent PII disclosure risk.</t>
  </si>
  <si>
    <t xml:space="preserve">Custom government records corpus (synthetic PII)</t>
  </si>
  <si>
    <t xml:space="preserve">Agency partners + synthetic PII generation</t>
  </si>
  <si>
    <t xml:space="preserve">Scanned government records</t>
  </si>
  <si>
    <t xml:space="preserve">~100K pages</t>
  </si>
  <si>
    <t xml:space="preserve">Records Clerk, FOIA Officer, Citizen Requester</t>
  </si>
  <si>
    <t xml:space="preserve">PII/sensitive-content detection, auto-redaction, disclosure-rule classification</t>
  </si>
  <si>
    <t xml:space="preserve">Multi-statute redaction-rule reasoning, appeals-log audit trail</t>
  </si>
  <si>
    <t xml:space="preserve">Records-management system integration, FOIA/public-records portal, chain-of-custody logging</t>
  </si>
  <si>
    <t xml:space="preserve">FOIA, state public-records law, Privacy Act</t>
  </si>
  <si>
    <t xml:space="preserve">Redaction accuracy (PII recall), false-negative rate on missed PII, backlog-clearance rate</t>
  </si>
  <si>
    <t xml:space="preserve">Government enterprise licensing (per-agency annual contract)</t>
  </si>
  <si>
    <t xml:space="preserve">VLM-060</t>
  </si>
  <si>
    <t xml:space="preserve">Voting Ballot Verification &amp; Audit Vision System</t>
  </si>
  <si>
    <t xml:space="preserve">Election offices need scalable, transparent tools to verify ballot marks and support post-election audits.</t>
  </si>
  <si>
    <t xml:space="preserve">Election workers manually review ambiguous or contested ballots by hand.</t>
  </si>
  <si>
    <t xml:space="preserve">VLM reads ballot images to verify mark validity against jurisdiction rules and flags ambiguous ballots for human review.</t>
  </si>
  <si>
    <t xml:space="preserve">Speeds up ballot counting/audits while maintaining transparency and human-in-the-loop oversight for contested marks.</t>
  </si>
  <si>
    <t xml:space="preserve">Custom synthetic ballot imagery (jurisdiction-specific)</t>
  </si>
  <si>
    <t xml:space="preserve">Synthetic generation + election-office partners</t>
  </si>
  <si>
    <t xml:space="preserve">Scanned ballot images</t>
  </si>
  <si>
    <t xml:space="preserve">~30K synthetic ballots</t>
  </si>
  <si>
    <t xml:space="preserve">Election Worker, Auditor, Voter (transparency), Election Board</t>
  </si>
  <si>
    <t xml:space="preserve">Mark-validity detection, ambiguous-ballot flagging, audit-trail logging</t>
  </si>
  <si>
    <t xml:space="preserve">Statistical risk-limiting audit support, multi-jurisdiction rule adaptation</t>
  </si>
  <si>
    <t xml:space="preserve">Election management system integration (certified, air-gapped deployment), bipartisan audit dashboard</t>
  </si>
  <si>
    <t xml:space="preserve">State election law, EAC voting-system certification standards</t>
  </si>
  <si>
    <t xml:space="preserve">Mark-detection accuracy, ambiguous-flag precision/recall, audit-transparency compliance</t>
  </si>
  <si>
    <t xml:space="preserve">Government contract to election offices (certified vendor licensing)</t>
  </si>
  <si>
    <t xml:space="preserve">VLM-061</t>
  </si>
  <si>
    <t xml:space="preserve">Military Vehicle &amp; Asset Recognition from Aerial Imagery</t>
  </si>
  <si>
    <t xml:space="preserve">Defense intelligence analysts must identify and classify military assets across massive volumes of aerial/satellite imagery.</t>
  </si>
  <si>
    <t xml:space="preserve">Imagery analysts manually scan and annotate satellite/aerial photos to identify assets.</t>
  </si>
  <si>
    <t xml:space="preserve">VLM detects and classifies military vehicles/assets in aerial imagery, generating structured intelligence summaries.</t>
  </si>
  <si>
    <t xml:space="preserve">Accelerates intelligence-analysis throughput and reduces analyst workload on repetitive detection tasks.</t>
  </si>
  <si>
    <t xml:space="preserve">DOTA + xView (public overhead imagery datasets)</t>
  </si>
  <si>
    <t xml:space="preserve">DOTA/xView (public, non-classified)</t>
  </si>
  <si>
    <t xml:space="preserve">Overhead/aerial imagery</t>
  </si>
  <si>
    <t xml:space="preserve">~30K annotated images</t>
  </si>
  <si>
    <t xml:space="preserve">Imagery Analyst, Intelligence Officer, Commander</t>
  </si>
  <si>
    <t xml:space="preserve">Asset detection/classification, count summaries, change-over-time tracking</t>
  </si>
  <si>
    <t xml:space="preserve">Multi-sensor fusion (EO/IR/SAR), analyst-in-the-loop confidence scoring</t>
  </si>
  <si>
    <t xml:space="preserve">Classified GEOINT platform integration, air-gapped/on-prem deployment, human-oversight approval workflow</t>
  </si>
  <si>
    <t xml:space="preserve">Classified/air-gapped deployment options, encryption at rest/in transit, strict need-to-know access control, human-in-the-loop oversight</t>
  </si>
  <si>
    <t xml:space="preserve">ITAR, classified-information handling, human-in-the-loop oversight mandates</t>
  </si>
  <si>
    <t xml:space="preserve">Detection mAP, classification accuracy, analyst throughput improvement</t>
  </si>
  <si>
    <t xml:space="preserve">Government/defense contract licensing (classified enterprise deployment)</t>
  </si>
  <si>
    <t xml:space="preserve">VLM-062</t>
  </si>
  <si>
    <t xml:space="preserve">Perimeter Security Threat Detection for Military Bases</t>
  </si>
  <si>
    <t xml:space="preserve">Military installations need continuous perimeter monitoring to detect intrusion attempts across large, remote boundaries.</t>
  </si>
  <si>
    <t xml:space="preserve">Sentries patrol on fixed schedules and monitor limited camera feeds manually.</t>
  </si>
  <si>
    <t xml:space="preserve">VLM continuously analyzes perimeter camera/sensor feeds to detect and classify intrusion threats in real time.</t>
  </si>
  <si>
    <t xml:space="preserve">Improves base-security posture and reduces reliance on limited human patrol coverage.</t>
  </si>
  <si>
    <t xml:space="preserve">Custom perimeter surveillance footage</t>
  </si>
  <si>
    <t xml:space="preserve">Defense installation partners</t>
  </si>
  <si>
    <t xml:space="preserve">Perimeter CCTV/thermal video</t>
  </si>
  <si>
    <t xml:space="preserve">Sentry/Security Forces, Base Commander, Intelligence Officer</t>
  </si>
  <si>
    <t xml:space="preserve">Intrusion detection, threat classification, real-time sentry alerting</t>
  </si>
  <si>
    <t xml:space="preserve">Multi-sensor fusion (thermal/radar/optical), predictive threat-pattern learning</t>
  </si>
  <si>
    <t xml:space="preserve">Base security operations center integration, classified/air-gapped deployment, human-in-the-loop response protocol</t>
  </si>
  <si>
    <t xml:space="preserve">DoD security directives, human-in-the-loop use-of-force policy</t>
  </si>
  <si>
    <t xml:space="preserve">Intrusion-detection recall (mission-critical), false-alarm rate, response-time reduction</t>
  </si>
  <si>
    <t xml:space="preserve">Government/defense enterprise contract</t>
  </si>
  <si>
    <t xml:space="preserve">VLM-063</t>
  </si>
  <si>
    <t xml:space="preserve">Battle Damage Assessment Reporting Assistant</t>
  </si>
  <si>
    <t xml:space="preserve">Post-engagement battle damage assessment is slow and analyst-intensive, delaying commander decision-making.</t>
  </si>
  <si>
    <t xml:space="preserve">Analysts manually review post-strike imagery and draft assessment reports by hand.</t>
  </si>
  <si>
    <t xml:space="preserve">VLM analyzes post-engagement imagery to auto-generate structured battle-damage-assessment reports for commander review.</t>
  </si>
  <si>
    <t xml:space="preserve">Speeds up commander decision cycles and standardizes assessment reporting quality.</t>
  </si>
  <si>
    <t xml:space="preserve">Custom post-engagement imagery (synthetic/training range)</t>
  </si>
  <si>
    <t xml:space="preserve">Training-range partners (non-operational)</t>
  </si>
  <si>
    <t xml:space="preserve">Post-strike overhead imagery</t>
  </si>
  <si>
    <t xml:space="preserve">~10K training images</t>
  </si>
  <si>
    <t xml:space="preserve">Intelligence Analyst, Commander, Targeting Officer</t>
  </si>
  <si>
    <t xml:space="preserve">Damage-severity classification, structured report drafting, confidence scoring</t>
  </si>
  <si>
    <t xml:space="preserve">Multi-source corroboration (imagery + sensor logs), historical-pattern comparison</t>
  </si>
  <si>
    <t xml:space="preserve">Command-and-control system integration, classified/air-gapped deployment, mandatory human sign-off workflow</t>
  </si>
  <si>
    <t xml:space="preserve">Law of Armed Conflict compliance, DoD directive on human oversight of targeting-adjacent systems</t>
  </si>
  <si>
    <t xml:space="preserve">Report accuracy vs analyst assessment, generation-time reduction, human-approval rate</t>
  </si>
  <si>
    <t xml:space="preserve">VLM-064</t>
  </si>
  <si>
    <t xml:space="preserve">Search &amp; Rescue Aerial Survivor Detection</t>
  </si>
  <si>
    <t xml:space="preserve">Search-and-rescue operations must scan vast wilderness/ocean areas quickly to locate survivors before conditions worsen.</t>
  </si>
  <si>
    <t xml:space="preserve">Rescue teams manually scan aerial/drone footage in real time looking for signs of survivors.</t>
  </si>
  <si>
    <t xml:space="preserve">VLM analyzes real-time drone/helicopter feeds to detect human presence, signals, and distress indicators across large search areas.</t>
  </si>
  <si>
    <t xml:space="preserve">Reduces search time and improves survivor outcomes in time-critical rescue operations.</t>
  </si>
  <si>
    <t xml:space="preserve">SARD + custom aerial SAR footage</t>
  </si>
  <si>
    <t xml:space="preserve">SARD (public) + rescue agency partners</t>
  </si>
  <si>
    <t xml:space="preserve">Drone/helicopter aerial video</t>
  </si>
  <si>
    <t xml:space="preserve">Search &amp; Rescue Team, Incident Commander, Coast Guard/Military Liaison</t>
  </si>
  <si>
    <t xml:space="preserve">Human-detection in cluttered terrain, distress-signal recognition, search-area coverage tracking</t>
  </si>
  <si>
    <t xml:space="preserve">Multi-drone coordinated search optimization, thermal/optical fusion for night operations</t>
  </si>
  <si>
    <t xml:space="preserve">Rescue coordination center integration, real-time field-team alerting, multi-agency mutual-aid dashboard</t>
  </si>
  <si>
    <t xml:space="preserve">SAR agency operational protocols</t>
  </si>
  <si>
    <t xml:space="preserve">Detection recall (life-critical), false-negative rate, search-time reduction</t>
  </si>
  <si>
    <t xml:space="preserve">Government/NGO contract + emergency-services enterprise licensing</t>
  </si>
  <si>
    <t xml:space="preserve">VLM-065</t>
  </si>
  <si>
    <t xml:space="preserve">Vehicle Pre-Delivery Inspection Vision System</t>
  </si>
  <si>
    <t xml:space="preserve">Dealerships and manufacturers face recall/warranty costs from defects missed during manual pre-delivery inspection.</t>
  </si>
  <si>
    <t xml:space="preserve">Technicians manually walk around vehicles checking a printed inspection checklist.</t>
  </si>
  <si>
    <t xml:space="preserve">VLM analyzes 360-degree vehicle imagery to detect paint defects, panel gaps, and missing components before delivery.</t>
  </si>
  <si>
    <t xml:space="preserve">Reduces warranty claims and improves first-time delivery quality for dealers and OEMs.</t>
  </si>
  <si>
    <t xml:space="preserve">Custom automotive inspection imagery</t>
  </si>
  <si>
    <t xml:space="preserve">OEM/dealer partners</t>
  </si>
  <si>
    <t xml:space="preserve">360-degree vehicle photos</t>
  </si>
  <si>
    <t xml:space="preserve">~20K vehicle inspection sets</t>
  </si>
  <si>
    <t xml:space="preserve">Dealership Technician, Quality Manager, OEM Plant Engineer</t>
  </si>
  <si>
    <t xml:space="preserve">Paint/panel-gap defect detection, missing-component checklist verification, pass/fail scoring</t>
  </si>
  <si>
    <t xml:space="preserve">Cross-plant defect-trend analysis, supplier-quality root-cause correlation</t>
  </si>
  <si>
    <t xml:space="preserve">DMS (dealer management system) integration, OEM quality-reporting pipeline, multi-dealer fleet dashboard</t>
  </si>
  <si>
    <t xml:space="preserve">Driver/vehicle data privacy, encryption at rest/in transit, role-based access control, telematics audit logging</t>
  </si>
  <si>
    <t xml:space="preserve">Defect-detection mAP, false-reject rate, warranty-claim reduction</t>
  </si>
  <si>
    <t xml:space="preserve">Per-dealership SaaS subscription + OEM enterprise contract</t>
  </si>
  <si>
    <t xml:space="preserve">VLM-066</t>
  </si>
  <si>
    <t xml:space="preserve">Driver Monitoring &amp; Distraction Detection System</t>
  </si>
  <si>
    <t xml:space="preserve">Fleet operators and automakers need to reduce accidents caused by driver distraction and drowsiness.</t>
  </si>
  <si>
    <t xml:space="preserve">Fleet safety managers review dashcam footage only after incidents occur.</t>
  </si>
  <si>
    <t xml:space="preserve">VLM analyzes in-cabin camera feeds in real time to detect distraction, drowsiness, and unsafe driving behavior.</t>
  </si>
  <si>
    <t xml:space="preserve">Reduces fleet accident rates and insurance premiums through proactive driver-behavior coaching.</t>
  </si>
  <si>
    <t xml:space="preserve">DMD (Driver Monitoring Dataset) + custom fleet footage</t>
  </si>
  <si>
    <t xml:space="preserve">DMD (public) + fleet partners</t>
  </si>
  <si>
    <t xml:space="preserve">In-cabin camera video</t>
  </si>
  <si>
    <t xml:space="preserve">Driver, Fleet Safety Manager, Insurer</t>
  </si>
  <si>
    <t xml:space="preserve">Distraction/drowsiness detection, real-time driver alerting, event-clip logging</t>
  </si>
  <si>
    <t xml:space="preserve">Personalized coaching-score trends, insurance-telematics integration</t>
  </si>
  <si>
    <t xml:space="preserve">Fleet management system integration, insurer telematics API, multi-vehicle fleet dashboard</t>
  </si>
  <si>
    <t xml:space="preserve">Driver privacy law, FMCSA fleet safety regulations</t>
  </si>
  <si>
    <t xml:space="preserve">Distraction-detection precision/recall, false-alarm rate, accident-rate reduction</t>
  </si>
  <si>
    <t xml:space="preserve">Per-vehicle monthly subscription to fleet operators + insurer data-licensing revenue</t>
  </si>
  <si>
    <t xml:space="preserve">VLM-067</t>
  </si>
  <si>
    <t xml:space="preserve">Used Car Marketplace Condition Verification</t>
  </si>
  <si>
    <t xml:space="preserve">Online used-car marketplaces face buyer trust issues from inaccurate or misleading seller-provided condition photos.</t>
  </si>
  <si>
    <t xml:space="preserve">Buyers rely on seller-submitted photos and descriptions with no independent verification.</t>
  </si>
  <si>
    <t xml:space="preserve">VLM independently analyzes uploaded vehicle photos to verify condition claims and detect undisclosed damage.</t>
  </si>
  <si>
    <t xml:space="preserve">Increases buyer trust and conversion rates on used-vehicle marketplaces while reducing dispute/return rates.</t>
  </si>
  <si>
    <t xml:space="preserve">CarDD + marketplace listing imagery</t>
  </si>
  <si>
    <t xml:space="preserve">CarDD (public) + marketplace partners</t>
  </si>
  <si>
    <t xml:space="preserve">Seller-submitted vehicle photos</t>
  </si>
  <si>
    <t xml:space="preserve">~15K listings</t>
  </si>
  <si>
    <t xml:space="preserve">Buyer, Seller, Marketplace Platform, Inspector</t>
  </si>
  <si>
    <t xml:space="preserve">Damage/wear detection, condition-grade scoring, listing-accuracy verification</t>
  </si>
  <si>
    <t xml:space="preserve">Price-fairness estimation based on true condition, fraud/misrepresentation flagging</t>
  </si>
  <si>
    <t xml:space="preserve">Marketplace platform integration, third-party inspection-report generation, dispute-resolution evidence packaging</t>
  </si>
  <si>
    <t xml:space="preserve">Consumer protection/lemon laws</t>
  </si>
  <si>
    <t xml:space="preserve">Condition-grade accuracy vs professional inspection, dispute-rate reduction</t>
  </si>
  <si>
    <t xml:space="preserve">Per-listing verification fee + marketplace platform revenue share</t>
  </si>
  <si>
    <t xml:space="preserve">VLM-068</t>
  </si>
  <si>
    <t xml:space="preserve">Autonomous Vehicle Edge-Case Scenario Curator</t>
  </si>
  <si>
    <t xml:space="preserve">AV developers need to efficiently mine millions of miles of driving footage for rare, safety-critical edge cases to improve models.</t>
  </si>
  <si>
    <t xml:space="preserve">ML engineers manually or with simple heuristics search through footage for interesting scenarios.</t>
  </si>
  <si>
    <t xml:space="preserve">VLM semantically searches massive driving-video archives using natural-language queries to surface rare edge cases.</t>
  </si>
  <si>
    <t xml:space="preserve">Accelerates AV model improvement cycles by surfacing high-value training data faster than manual review.</t>
  </si>
  <si>
    <t xml:space="preserve">BDD100K + nuScenes</t>
  </si>
  <si>
    <t xml:space="preserve">BDD100K/nuScenes (public)</t>
  </si>
  <si>
    <t xml:space="preserve">Driving video + sensor logs</t>
  </si>
  <si>
    <t xml:space="preserve">~100K driving clips</t>
  </si>
  <si>
    <t xml:space="preserve">ML Engineer, AV Safety Team, Simulation Engineer</t>
  </si>
  <si>
    <t xml:space="preserve">Natural-language video search, scenario tagging, rare-event clustering</t>
  </si>
  <si>
    <t xml:space="preserve">Automatic scenario-difficulty scoring, simulation-scenario generation from real edge cases</t>
  </si>
  <si>
    <t xml:space="preserve">AV data pipeline integration, simulation platform hookup, large-scale distributed video indexing</t>
  </si>
  <si>
    <t xml:space="preserve">Search-relevance precision@K, edge-case discovery rate, engineer time-savings</t>
  </si>
  <si>
    <t xml:space="preserve">Enterprise data-platform licensing to AV developers</t>
  </si>
  <si>
    <t xml:space="preserve">VLM-069</t>
  </si>
  <si>
    <t xml:space="preserve">Warehouse Picking Robot Visual Grounding System</t>
  </si>
  <si>
    <t xml:space="preserve">Warehouse picking robots struggle to reliably identify and grasp arbitrary SKUs described in natural language orders.</t>
  </si>
  <si>
    <t xml:space="preserve">Human pickers manually locate and retrieve items based on order sheets.</t>
  </si>
  <si>
    <t xml:space="preserve">VLM grounds natural-language item descriptions to precise object locations/poses for robotic grasping.</t>
  </si>
  <si>
    <t xml:space="preserve">Increases robotic picking accuracy and throughput, reducing labor dependency in fulfillment centers.</t>
  </si>
  <si>
    <t xml:space="preserve">Custom warehouse bin-picking imagery + Amazon Bin dataset</t>
  </si>
  <si>
    <t xml:space="preserve">Amazon Bin Image Dataset (public) + partners</t>
  </si>
  <si>
    <t xml:space="preserve">Bin-picking camera imagery</t>
  </si>
  <si>
    <t xml:space="preserve">~50K bin images</t>
  </si>
  <si>
    <t xml:space="preserve">Robotics Engineer, Warehouse Operations Manager, Fulfillment Center Ops</t>
  </si>
  <si>
    <t xml:space="preserve">Natural-language object grounding, grasp-pose estimation, pick-success verification</t>
  </si>
  <si>
    <t xml:space="preserve">Multi-object cluttered-bin reasoning, failure-recovery re-grasp planning</t>
  </si>
  <si>
    <t xml:space="preserve">WMS/robot-fleet controller integration, multi-robot coordination, real-time low-latency edge inference</t>
  </si>
  <si>
    <t xml:space="preserve">Safety-critical fail-safe design, encryption in transit, role-based access control, operational audit logging</t>
  </si>
  <si>
    <t xml:space="preserve">Grasp-success rate, grounding accuracy, picking-throughput improvement</t>
  </si>
  <si>
    <t xml:space="preserve">Per-robot licensing fee + fulfillment-center enterprise contract</t>
  </si>
  <si>
    <t xml:space="preserve">VLM-070</t>
  </si>
  <si>
    <t xml:space="preserve">Home Assistance Robot Household Object Navigator</t>
  </si>
  <si>
    <t xml:space="preserve">Home-assistance robots for elderly/disabled users need to understand cluttered household scenes to fetch requested items.</t>
  </si>
  <si>
    <t xml:space="preserve">Caregivers manually locate and hand items to users with mobility limitations.</t>
  </si>
  <si>
    <t xml:space="preserve">VLM interprets natural-language requests and household scene imagery to locate, navigate to, and retrieve requested objects.</t>
  </si>
  <si>
    <t xml:space="preserve">Increases independence for elderly/disabled users and reduces caregiver burden for routine fetch tasks.</t>
  </si>
  <si>
    <t xml:space="preserve">AI2-THOR + custom household scene imagery</t>
  </si>
  <si>
    <t xml:space="preserve">AI2-THOR (public simulator) + partners</t>
  </si>
  <si>
    <t xml:space="preserve">Household scene images/simulation</t>
  </si>
  <si>
    <t xml:space="preserve">~20K household scenes</t>
  </si>
  <si>
    <t xml:space="preserve">Elderly/Disabled User, Caregiver, Robot Manufacturer</t>
  </si>
  <si>
    <t xml:space="preserve">Object localization from language query, safe-navigation path planning, retrieval-success confirmation</t>
  </si>
  <si>
    <t xml:space="preserve">Multi-step task planning (e.g., 'bring my medication and a glass of water'), user-preference personalization</t>
  </si>
  <si>
    <t xml:space="preserve">Home-automation platform integration, caregiver-alert dashboard, safety fail-safe protocols</t>
  </si>
  <si>
    <t xml:space="preserve">Medical device / assistive-technology regulations where applicable</t>
  </si>
  <si>
    <t xml:space="preserve">Task-success rate, navigation-safety incident rate, user-satisfaction score</t>
  </si>
  <si>
    <t xml:space="preserve">Per-unit hardware sale + subscription for cloud-based reasoning services</t>
  </si>
  <si>
    <t xml:space="preserve">VLM-071</t>
  </si>
  <si>
    <t xml:space="preserve">Agricultural Harvesting Robot Ripeness Detector</t>
  </si>
  <si>
    <t xml:space="preserve">Automated harvesting robots need to accurately judge fruit/vegetable ripeness to avoid harvesting unripe or damaged produce.</t>
  </si>
  <si>
    <t xml:space="preserve">Human harvesters visually judge ripeness based on color/firmness experience.</t>
  </si>
  <si>
    <t xml:space="preserve">VLM analyzes crop imagery in real time to assess ripeness and guide robotic arm harvesting decisions.</t>
  </si>
  <si>
    <t xml:space="preserve">Reduces labor dependency for harvest and improves yield quality through consistent ripeness judgment.</t>
  </si>
  <si>
    <t xml:space="preserve">Custom fruit-ripeness imagery + Fruits-360</t>
  </si>
  <si>
    <t xml:space="preserve">Fruits-360 (public) + farm partners</t>
  </si>
  <si>
    <t xml:space="preserve">Field crop imagery</t>
  </si>
  <si>
    <t xml:space="preserve">~25K ripeness-labeled images</t>
  </si>
  <si>
    <t xml:space="preserve">Farm Operator, Robotics Engineer, Agricultural Equipment Manufacturer</t>
  </si>
  <si>
    <t xml:space="preserve">Ripeness classification, defect/bruise detection, harvest-decision output for robotic arm</t>
  </si>
  <si>
    <t xml:space="preserve">Yield-forecasting from ripeness distribution, multi-crop model adaptation</t>
  </si>
  <si>
    <t xml:space="preserve">Farm equipment fleet integration, real-time edge inference on harvesting rig, yield-reporting dashboard</t>
  </si>
  <si>
    <t xml:space="preserve">Ripeness-classification accuracy, harvest-yield quality improvement, bruising-rate reduction</t>
  </si>
  <si>
    <t xml:space="preserve">Per-unit equipment sale + seasonal software subscription to farms</t>
  </si>
  <si>
    <t xml:space="preserve">VLM-072</t>
  </si>
  <si>
    <t xml:space="preserve">Industrial Robot Arm Collision Avoidance Vision System</t>
  </si>
  <si>
    <t xml:space="preserve">Collaborative robots (cobots) working near humans risk costly/dangerous collisions from unpredictable human movement.</t>
  </si>
  <si>
    <t xml:space="preserve">Facilities rely on fixed safety cages or light curtains that limit true human-robot collaboration.</t>
  </si>
  <si>
    <t xml:space="preserve">VLM interprets shared workspace camera feeds to predict human intent and dynamically adjust robot arm trajectories.</t>
  </si>
  <si>
    <t xml:space="preserve">Enables safer, more flexible human-robot collaboration and reduces costly safety-stop downtime.</t>
  </si>
  <si>
    <t xml:space="preserve">Custom cobot workspace imagery + human-pose datasets</t>
  </si>
  <si>
    <t xml:space="preserve">COCO-pose (public) + manufacturer partners</t>
  </si>
  <si>
    <t xml:space="preserve">Workspace camera video</t>
  </si>
  <si>
    <t xml:space="preserve">Cobot Operator, Safety Engineer, Manufacturing Engineer</t>
  </si>
  <si>
    <t xml:space="preserve">Human-pose tracking, intent prediction, dynamic trajectory adjustment/e-stop</t>
  </si>
  <si>
    <t xml:space="preserve">Multi-robot multi-human coordination, learned-preference collaborative choreography</t>
  </si>
  <si>
    <t xml:space="preserve">Robot controller (ROS) integration, safety-certified real-time inference, plant-wide safety dashboard</t>
  </si>
  <si>
    <t xml:space="preserve">ISO/TS 15066 collaborative-robot safety standard, OSHA</t>
  </si>
  <si>
    <t xml:space="preserve">Collision-prevention rate, false-stop rate, throughput impact vs safety-cage baseline</t>
  </si>
  <si>
    <t xml:space="preserve">Per-cell hardware+software licensing to manufacturers integrating cobots</t>
  </si>
  <si>
    <t xml:space="preserve">VLM-073</t>
  </si>
  <si>
    <t xml:space="preserve">Property Listing Photo Quality &amp; Staging Analyzer</t>
  </si>
  <si>
    <t xml:space="preserve">Real estate listings with poor-quality or unstaged photos see significantly lower engagement and slower sales.</t>
  </si>
  <si>
    <t xml:space="preserve">Agents manually judge photo quality and hire stagers/photographers on instinct.</t>
  </si>
  <si>
    <t xml:space="preserve">VLM scores listing photos for quality/staging appeal and recommends specific improvements or virtual staging.</t>
  </si>
  <si>
    <t xml:space="preserve">Increases listing engagement and reduces average days-on-market for represented properties.</t>
  </si>
  <si>
    <t xml:space="preserve">Custom real estate listing photo corpus</t>
  </si>
  <si>
    <t xml:space="preserve">MLS/brokerage partners</t>
  </si>
  <si>
    <t xml:space="preserve">Listing photos</t>
  </si>
  <si>
    <t xml:space="preserve">~50K listing photos</t>
  </si>
  <si>
    <t xml:space="preserve">Real Estate Agent, Photographer/Stager, Brokerage Manager</t>
  </si>
  <si>
    <t xml:space="preserve">Photo-quality scoring, staging-appeal rating, improvement recommendations</t>
  </si>
  <si>
    <t xml:space="preserve">AI virtual-staging generation, room-type/feature auto-tagging for search filters</t>
  </si>
  <si>
    <t xml:space="preserve">MLS/CRM integration, brokerage-wide listing analytics, A/B test tracking for listing performance</t>
  </si>
  <si>
    <t xml:space="preserve">Owner/tenant PII protection, encryption at rest/in transit, role-based access control, fair-housing-aware auditing</t>
  </si>
  <si>
    <t xml:space="preserve">Fair housing advertising regulations</t>
  </si>
  <si>
    <t xml:space="preserve">Engagement-lift correlation with score, days-on-market reduction, staging-recommendation adoption rate</t>
  </si>
  <si>
    <t xml:space="preserve">Per-listing fee + brokerage-wide SaaS subscription</t>
  </si>
  <si>
    <t xml:space="preserve">VLM-074</t>
  </si>
  <si>
    <t xml:space="preserve">Building Permit Violation Detection from Street Imagery</t>
  </si>
  <si>
    <t xml:space="preserve">Municipalities and property investors struggle to identify unpermitted construction/renovations across large property portfolios.</t>
  </si>
  <si>
    <t xml:space="preserve">Inspectors respond reactively to complaints or conduct sparse random audits.</t>
  </si>
  <si>
    <t xml:space="preserve">VLM cross-references street-level/aerial imagery over time against permit records to flag likely unpermitted work.</t>
  </si>
  <si>
    <t xml:space="preserve">Increases permit-compliance revenue for municipalities and reduces investor liability from undisclosed violations.</t>
  </si>
  <si>
    <t xml:space="preserve">Custom street-view + aerial time-series imagery</t>
  </si>
  <si>
    <t xml:space="preserve">Municipal GIS + Street View-style partners</t>
  </si>
  <si>
    <t xml:space="preserve">Street-level and aerial imagery</t>
  </si>
  <si>
    <t xml:space="preserve">~30K property image sets</t>
  </si>
  <si>
    <t xml:space="preserve">Building Inspector, Property Investor, Title Company</t>
  </si>
  <si>
    <t xml:space="preserve">Structural-change detection, permit-record cross-reference, violation-likelihood scoring</t>
  </si>
  <si>
    <t xml:space="preserve">Portfolio-wide risk scoring for real estate investors, automated compliance-report generation</t>
  </si>
  <si>
    <t xml:space="preserve">Municipal GIS/permitting system integration, title/due-diligence platform integration, investor portfolio dashboard</t>
  </si>
  <si>
    <t xml:space="preserve">Local zoning/building code enforcement law</t>
  </si>
  <si>
    <t xml:space="preserve">Violation-detection precision/recall, revenue-recovery from compliance actions</t>
  </si>
  <si>
    <t xml:space="preserve">Municipal contract + per-portfolio due-diligence report fee to investors/title companies</t>
  </si>
  <si>
    <t xml:space="preserve">VLM-075</t>
  </si>
  <si>
    <t xml:space="preserve">Commercial Lease Space Utilization Analyzer</t>
  </si>
  <si>
    <t xml:space="preserve">Commercial landlords and corporate tenants lack objective data on how efficiently leased office/retail space is actually used.</t>
  </si>
  <si>
    <t xml:space="preserve">Facilities teams manually observe or conduct periodic headcount walk-throughs.</t>
  </si>
  <si>
    <t xml:space="preserve">VLM analyzes (privacy-controlled) space-utilization camera/sensor data to measure occupancy patterns and space efficiency.</t>
  </si>
  <si>
    <t xml:space="preserve">Informs data-driven lease renegotiation and space-optimization decisions worth significant real estate cost savings.</t>
  </si>
  <si>
    <t xml:space="preserve">Custom office/retail occupancy imagery (anonymized)</t>
  </si>
  <si>
    <t xml:space="preserve">Corporate/landlord partners</t>
  </si>
  <si>
    <t xml:space="preserve">Anonymized occupancy camera feeds</t>
  </si>
  <si>
    <t xml:space="preserve">Facilities Manager, Corporate Real Estate Lead, Landlord</t>
  </si>
  <si>
    <t xml:space="preserve">Occupancy-density heatmaps, space-type utilization scoring, trend reporting</t>
  </si>
  <si>
    <t xml:space="preserve">Predictive space-demand forecasting, lease-renegotiation recommendation engine</t>
  </si>
  <si>
    <t xml:space="preserve">Building management system (BMS) integration, corporate real estate portfolio dashboard, privacy-by-design anonymization</t>
  </si>
  <si>
    <t xml:space="preserve">Employee privacy law, biometric data statutes</t>
  </si>
  <si>
    <t xml:space="preserve">Utilization-measurement accuracy, cost-savings from optimization recommendations</t>
  </si>
  <si>
    <t xml:space="preserve">Enterprise SaaS subscription to landlords and corporate real estate teams</t>
  </si>
  <si>
    <t xml:space="preserve">VLM-076</t>
  </si>
  <si>
    <t xml:space="preserve">Home Inspection Report Automation Assistant</t>
  </si>
  <si>
    <t xml:space="preserve">Home inspectors spend hours manually writing detailed reports after physically photographing every defect during inspections.</t>
  </si>
  <si>
    <t xml:space="preserve">Inspectors take photos and manually type detailed written findings for each defect afterward.</t>
  </si>
  <si>
    <t xml:space="preserve">VLM analyzes inspector-captured photos to auto-draft structured defect descriptions and severity ratings for the report.</t>
  </si>
  <si>
    <t xml:space="preserve">Cuts report-writing time significantly, letting inspectors take on more jobs per week.</t>
  </si>
  <si>
    <t xml:space="preserve">Custom home-inspection photo corpus</t>
  </si>
  <si>
    <t xml:space="preserve">Home inspector partners</t>
  </si>
  <si>
    <t xml:space="preserve">Inspection photos</t>
  </si>
  <si>
    <t xml:space="preserve">~20K defect photos</t>
  </si>
  <si>
    <t xml:space="preserve">Home Inspector, Home Buyer, Real Estate Agent</t>
  </si>
  <si>
    <t xml:space="preserve">Defect classification, severity rating, auto-drafted report narrative</t>
  </si>
  <si>
    <t xml:space="preserve">Cost-to-repair estimation, comparison to local code requirements</t>
  </si>
  <si>
    <t xml:space="preserve">Inspection-report software integration (e.g., Spectora-style), e-signature and delivery workflow, multi-inspector franchise dashboard</t>
  </si>
  <si>
    <t xml:space="preserve">State home-inspector licensing standards</t>
  </si>
  <si>
    <t xml:space="preserve">Defect-classification accuracy, report-time reduction, inspector-adoption rate</t>
  </si>
  <si>
    <t xml:space="preserve">Per-inspection SaaS fee to independent inspectors and franchises</t>
  </si>
  <si>
    <t xml:space="preserve">VLM-077</t>
  </si>
  <si>
    <t xml:space="preserve">Automated Video Content Moderation Pipeline</t>
  </si>
  <si>
    <t xml:space="preserve">Platforms hosting user-generated video content struggle to moderate harmful content at the scale content is uploaded.</t>
  </si>
  <si>
    <t xml:space="preserve">Human moderators manually review flagged/sampled videos, creating backlogs and psychological strain.</t>
  </si>
  <si>
    <t xml:space="preserve">VLM screens uploaded video for policy violations (violence, harassment, prohibited content) with contextual reasoning beyond simple classifiers.</t>
  </si>
  <si>
    <t xml:space="preserve">Reduces harmful-content exposure time and moderator caseload while improving policy-nuance accuracy.</t>
  </si>
  <si>
    <t xml:space="preserve">Custom moderation-labeled video corpus</t>
  </si>
  <si>
    <t xml:space="preserve">Platform partners (policy-compliant)</t>
  </si>
  <si>
    <t xml:space="preserve">User-generated video</t>
  </si>
  <si>
    <t xml:space="preserve">~50K labeled clips</t>
  </si>
  <si>
    <t xml:space="preserve">Content Moderator, Trust &amp; Safety Lead, Platform User</t>
  </si>
  <si>
    <t xml:space="preserve">Policy-violation classification, context-aware severity scoring, human-review routing</t>
  </si>
  <si>
    <t xml:space="preserve">Cross-platform coordinated-harm detection, appeals-explanation generation</t>
  </si>
  <si>
    <t xml:space="preserve">Trust &amp; safety platform integration, regulator transparency reporting, moderator-wellness workload balancing</t>
  </si>
  <si>
    <t xml:space="preserve">Content rights protection, encryption at rest/in transit, role-based access control, takedown audit trail</t>
  </si>
  <si>
    <t xml:space="preserve">DSA/online-safety regulations, platform transparency-reporting law</t>
  </si>
  <si>
    <t xml:space="preserve">Policy-violation detection precision/recall, moderator-workload reduction, appeal-overturn rate</t>
  </si>
  <si>
    <t xml:space="preserve">Enterprise API pricing per video-hour moderated to platforms</t>
  </si>
  <si>
    <t xml:space="preserve">VLM-078</t>
  </si>
  <si>
    <t xml:space="preserve">Sports Broadcast Auto-Highlight Generator</t>
  </si>
  <si>
    <t xml:space="preserve">Sports broadcasters and leagues spend significant editorial time manually clipping highlight reels from full game footage.</t>
  </si>
  <si>
    <t xml:space="preserve">Video editors manually scrub through full game footage to find and cut highlight moments.</t>
  </si>
  <si>
    <t xml:space="preserve">VLM analyzes game footage to identify highlight-worthy moments and auto-generate clip packages with captions.</t>
  </si>
  <si>
    <t xml:space="preserve">Speeds up highlight production for same-day content and reduces editorial labor costs significantly.</t>
  </si>
  <si>
    <t xml:space="preserve">SoccerNet + custom league footage</t>
  </si>
  <si>
    <t xml:space="preserve">SoccerNet (public) + league partners</t>
  </si>
  <si>
    <t xml:space="preserve">Full game broadcast footage</t>
  </si>
  <si>
    <t xml:space="preserve">Video Editor, League/Broadcaster, Fan/Viewer</t>
  </si>
  <si>
    <t xml:space="preserve">Highlight-moment detection, auto-clip generation, caption/commentary drafting</t>
  </si>
  <si>
    <t xml:space="preserve">Player-specific highlight reels, personalized fan-highlight feeds</t>
  </si>
  <si>
    <t xml:space="preserve">Broadcast/CMS integration, social-media auto-publishing pipeline, multi-league fleet processing</t>
  </si>
  <si>
    <t xml:space="preserve">Broadcast rights/licensing agreements</t>
  </si>
  <si>
    <t xml:space="preserve">Highlight-relevance precision, editorial time-savings, viewer engagement lift</t>
  </si>
  <si>
    <t xml:space="preserve">Per-league licensing + social-platform distribution revenue share</t>
  </si>
  <si>
    <t xml:space="preserve">VLM-079</t>
  </si>
  <si>
    <t xml:space="preserve">Film &amp; TV Script-to-Storyboard Previsualization Tool</t>
  </si>
  <si>
    <t xml:space="preserve">Pre-production teams spend significant time and budget manually storyboarding scripts before greenlighting expensive shoots.</t>
  </si>
  <si>
    <t xml:space="preserve">Storyboard artists manually sketch scenes based on script read-throughs and director notes.</t>
  </si>
  <si>
    <t xml:space="preserve">VLM/generative model converts script scenes into draft storyboard frames and shot-list suggestions for director review.</t>
  </si>
  <si>
    <t xml:space="preserve">Speeds up pre-production iteration and reduces early-stage storyboard-artist costs for indie/mid-budget productions.</t>
  </si>
  <si>
    <t xml:space="preserve">Custom script + storyboard pair corpus</t>
  </si>
  <si>
    <t xml:space="preserve">Studio/production partners</t>
  </si>
  <si>
    <t xml:space="preserve">Scripts + storyboard image pairs</t>
  </si>
  <si>
    <t xml:space="preserve">~5K scene pairs</t>
  </si>
  <si>
    <t xml:space="preserve">Storyboard Artist, Director, Producer</t>
  </si>
  <si>
    <t xml:space="preserve">Scene-to-image draft generation, shot-list suggestion, camera-angle recommendation</t>
  </si>
  <si>
    <t xml:space="preserve">Style-consistent character/set generation across scenes, director-feedback iterative refinement</t>
  </si>
  <si>
    <t xml:space="preserve">Production-management software integration, VFX pipeline handoff, multi-studio collaboration workspace</t>
  </si>
  <si>
    <t xml:space="preserve">IP/copyright considerations for generated derivative content</t>
  </si>
  <si>
    <t xml:space="preserve">Director-approval rate on first draft, pre-production time reduction</t>
  </si>
  <si>
    <t xml:space="preserve">Per-project SaaS licensing to production studios</t>
  </si>
  <si>
    <t xml:space="preserve">VLM-080</t>
  </si>
  <si>
    <t xml:space="preserve">Music Video/Concert Rights &amp; Usage Compliance Scanner</t>
  </si>
  <si>
    <t xml:space="preserve">Rights-holders and platforms need to detect unlicensed use of copyrighted visual/musical content across uploaded video.</t>
  </si>
  <si>
    <t xml:space="preserve">Rights teams manually search and spot-check uploaded content for infringement.</t>
  </si>
  <si>
    <t xml:space="preserve">VLM cross-references uploaded video against copyrighted visual assets (stage designs, branded content, logos) to flag likely infringement.</t>
  </si>
  <si>
    <t xml:space="preserve">Reduces unlicensed-use revenue leakage and speeds up takedown/licensing-negotiation workflows for rights-holders.</t>
  </si>
  <si>
    <t xml:space="preserve">Custom rights-holder asset + upload corpus</t>
  </si>
  <si>
    <t xml:space="preserve">Rights-holder/platform partners</t>
  </si>
  <si>
    <t xml:space="preserve">Reference assets + uploaded video</t>
  </si>
  <si>
    <t xml:space="preserve">~10K reference assets</t>
  </si>
  <si>
    <t xml:space="preserve">Rights Holder, Platform Trust &amp; Safety, Content Uploader</t>
  </si>
  <si>
    <t xml:space="preserve">Visual asset matching, infringement-likelihood scoring, takedown-notice drafting</t>
  </si>
  <si>
    <t xml:space="preserve">Automated licensing-offer generation for borderline cases, cross-platform monitoring</t>
  </si>
  <si>
    <t xml:space="preserve">Rights-management system integration, platform content-ID-style API, legal takedown workflow</t>
  </si>
  <si>
    <t xml:space="preserve">Copyright law (DMCA), music/media licensing regulations</t>
  </si>
  <si>
    <t xml:space="preserve">Match-detection precision/recall, false-positive rate, licensing-revenue recovery</t>
  </si>
  <si>
    <t xml:space="preserve">Enterprise rights-protection SaaS + per-match licensing-fee revenue share</t>
  </si>
  <si>
    <t xml:space="preserve">VLM-081</t>
  </si>
  <si>
    <t xml:space="preserve">Hotel Room Cleanliness &amp; Damage Inspector</t>
  </si>
  <si>
    <t xml:space="preserve">Hotels face guest complaints and revenue loss from inconsistent housekeeping quality checks and undetected room damage.</t>
  </si>
  <si>
    <t xml:space="preserve">Housekeeping supervisors manually spot-check a sample of rooms after cleaning.</t>
  </si>
  <si>
    <t xml:space="preserve">VLM analyzes room-turnover photos to verify cleanliness standards and detect guest-caused damage for billing.</t>
  </si>
  <si>
    <t xml:space="preserve">Improves guest-satisfaction scores and captures previously-missed damage billing revenue.</t>
  </si>
  <si>
    <t xml:space="preserve">Custom hotel room imagery</t>
  </si>
  <si>
    <t xml:space="preserve">Hotel chain partners</t>
  </si>
  <si>
    <t xml:space="preserve">Room-turnover photos</t>
  </si>
  <si>
    <t xml:space="preserve">~20K room images</t>
  </si>
  <si>
    <t xml:space="preserve">Housekeeper, Hotel Manager, Guest</t>
  </si>
  <si>
    <t xml:space="preserve">Cleanliness checklist verification, damage detection, billing-flag generation</t>
  </si>
  <si>
    <t xml:space="preserve">Housekeeper performance benchmarking, predictive maintenance-request generation</t>
  </si>
  <si>
    <t xml:space="preserve">PMS (property management system) integration, multi-property brand dashboard, guest-billing workflow</t>
  </si>
  <si>
    <t xml:space="preserve">Guest PII protection, encryption at rest/in transit, role-based access control, PCI-adjacent billing safeguards</t>
  </si>
  <si>
    <t xml:space="preserve">Cleanliness-verification accuracy, damage-detection precision, guest-satisfaction-score correlation</t>
  </si>
  <si>
    <t xml:space="preserve">Per-property SaaS subscription to hotel chains and management companies</t>
  </si>
  <si>
    <t xml:space="preserve">VLM-082</t>
  </si>
  <si>
    <t xml:space="preserve">Airport Baggage Damage &amp; Claims Verification</t>
  </si>
  <si>
    <t xml:space="preserve">Airlines face costly, disputed baggage-damage claims due to inconsistent condition documentation at check-in and arrival.</t>
  </si>
  <si>
    <t xml:space="preserve">Ground staff manually inspect and occasionally photograph bags with no systematic comparison.</t>
  </si>
  <si>
    <t xml:space="preserve">VLM photographs bags at check-in and arrival to auto-compare condition and adjudicate damage claims.</t>
  </si>
  <si>
    <t xml:space="preserve">Reduces disputed baggage claims and associated payout costs for airlines.</t>
  </si>
  <si>
    <t xml:space="preserve">Custom baggage condition imagery</t>
  </si>
  <si>
    <t xml:space="preserve">Airline partners</t>
  </si>
  <si>
    <t xml:space="preserve">Check-in/arrival baggage photos</t>
  </si>
  <si>
    <t xml:space="preserve">~15K baggage image pairs</t>
  </si>
  <si>
    <t xml:space="preserve">Ground Staff, Passenger, Claims Adjuster</t>
  </si>
  <si>
    <t xml:space="preserve">Condition comparison (before/after), damage classification, claim-adjudication recommendation</t>
  </si>
  <si>
    <t xml:space="preserve">Fraud-pattern detection across repeat claimants, carrier-liability attribution for connecting flights</t>
  </si>
  <si>
    <t xml:space="preserve">Airline baggage-handling system integration, claims-management workflow, multi-airport rollout dashboard</t>
  </si>
  <si>
    <t xml:space="preserve">Montreal Convention baggage liability rules</t>
  </si>
  <si>
    <t xml:space="preserve">Damage-detection accuracy, claim-adjudication agreement with human reviewer, dispute-rate reduction</t>
  </si>
  <si>
    <t xml:space="preserve">Per-bag processing fee to airlines and ground-handling companies</t>
  </si>
  <si>
    <t xml:space="preserve">VLM-083</t>
  </si>
  <si>
    <t xml:space="preserve">Restaurant Health Code Compliance Vision Auditor</t>
  </si>
  <si>
    <t xml:space="preserve">Restaurant chains need consistent, frequent kitchen health-code compliance checks across hundreds of locations.</t>
  </si>
  <si>
    <t xml:space="preserve">Health inspectors and franchise auditors visit periodically with manual checklists.</t>
  </si>
  <si>
    <t xml:space="preserve">VLM analyzes kitchen camera imagery to detect food-safety violations (improper storage, hygiene lapses) between official inspections.</t>
  </si>
  <si>
    <t xml:space="preserve">Reduces health-code violation incidents and protects brand reputation across multi-location chains.</t>
  </si>
  <si>
    <t xml:space="preserve">Custom kitchen imagery corpus</t>
  </si>
  <si>
    <t xml:space="preserve">Restaurant chain partners</t>
  </si>
  <si>
    <t xml:space="preserve">Kitchen CCTV imagery</t>
  </si>
  <si>
    <t xml:space="preserve">~10K images/clips</t>
  </si>
  <si>
    <t xml:space="preserve">Kitchen Staff, Restaurant Manager, Franchise QA Director</t>
  </si>
  <si>
    <t xml:space="preserve">Violation-type detection (storage temp signage, hygiene lapses), compliance scoring, alert generation</t>
  </si>
  <si>
    <t xml:space="preserve">Cross-location benchmarking, predictive health-inspection-risk scoring</t>
  </si>
  <si>
    <t xml:space="preserve">Franchise-management system integration, health-department reporting readiness, multi-location dashboard</t>
  </si>
  <si>
    <t xml:space="preserve">FDA Food Code, local health department regulations</t>
  </si>
  <si>
    <t xml:space="preserve">Violation-detection precision/recall, inspection-score-improvement correlation</t>
  </si>
  <si>
    <t xml:space="preserve">Per-location monthly SaaS subscription to restaurant chains</t>
  </si>
  <si>
    <t xml:space="preserve">VLM-084</t>
  </si>
  <si>
    <t xml:space="preserve">Theme Park Queue &amp; Crowd Safety Vision Monitor</t>
  </si>
  <si>
    <t xml:space="preserve">Theme parks need real-time visibility into crowd density and safety compliance across large, complex properties.</t>
  </si>
  <si>
    <t xml:space="preserve">Staff visually monitor queues and safety compliance at each attraction manually.</t>
  </si>
  <si>
    <t xml:space="preserve">VLM analyzes park-wide camera feeds to monitor crowd density, queue wait-time estimation, and ride-safety compliance.</t>
  </si>
  <si>
    <t xml:space="preserve">Improves guest experience through better wait-time predictions and enhances safety-incident response times.</t>
  </si>
  <si>
    <t xml:space="preserve">Custom theme-park crowd imagery</t>
  </si>
  <si>
    <t xml:space="preserve">Theme park operator partners</t>
  </si>
  <si>
    <t xml:space="preserve">Park-wide CCTV video</t>
  </si>
  <si>
    <t xml:space="preserve">Park Operations Staff, Ride Operator, Guest, Safety Officer</t>
  </si>
  <si>
    <t xml:space="preserve">Crowd-density estimation, wait-time prediction, safety-compliance monitoring (restraint bars, height checks)</t>
  </si>
  <si>
    <t xml:space="preserve">Dynamic staffing-allocation recommendation, guest-flow optimization across attractions</t>
  </si>
  <si>
    <t xml:space="preserve">Park operations system integration, guest-facing app wait-time feed, safety-incident dashboard</t>
  </si>
  <si>
    <t xml:space="preserve">Amusement ride safety regulations (state/ASTM standards)</t>
  </si>
  <si>
    <t xml:space="preserve">Wait-time prediction accuracy, safety-compliance detection rate, guest-satisfaction correlation</t>
  </si>
  <si>
    <t xml:space="preserve">Enterprise annual contract to theme park operators</t>
  </si>
  <si>
    <t xml:space="preserve">VLM-085</t>
  </si>
  <si>
    <t xml:space="preserve">Mine Site Slope Stability &amp; Hazard Monitor</t>
  </si>
  <si>
    <t xml:space="preserve">Mining operations face catastrophic risk from undetected slope instability and rockfall hazards in open-pit mines.</t>
  </si>
  <si>
    <t xml:space="preserve">Geotechnical engineers manually inspect slopes on scheduled walk-throughs with visual and instrument checks.</t>
  </si>
  <si>
    <t xml:space="preserve">VLM analyzes drone/fixed-camera imagery of mine slopes to detect crack propagation and instability indicators in real time.</t>
  </si>
  <si>
    <t xml:space="preserve">Reduces catastrophic slope-failure risk and enables continuous rather than periodic geotechnical monitoring.</t>
  </si>
  <si>
    <t xml:space="preserve">Custom mine-slope imagery</t>
  </si>
  <si>
    <t xml:space="preserve">Mining company partners</t>
  </si>
  <si>
    <t xml:space="preserve">Drone/fixed-camera slope imagery</t>
  </si>
  <si>
    <t xml:space="preserve">~8K slope images</t>
  </si>
  <si>
    <t xml:space="preserve">Geotechnical Engineer, Mine Safety Officer, Site Manager</t>
  </si>
  <si>
    <t xml:space="preserve">Crack/instability detection, hazard-severity scoring, real-time alerting</t>
  </si>
  <si>
    <t xml:space="preserve">Predictive failure-time modeling combining imagery with sensor/InSAR data, evacuation-trigger automation</t>
  </si>
  <si>
    <t xml:space="preserve">Mine safety management system integration, regulator safety reporting, multi-pit fleet dashboard</t>
  </si>
  <si>
    <t xml:space="preserve">Site-safety-critical redundancy, encryption in transit, role-based access control, regulator-ready audit trail</t>
  </si>
  <si>
    <t xml:space="preserve">MSHA mine safety regulations</t>
  </si>
  <si>
    <t xml:space="preserve">Instability-detection recall (safety-critical), false-negative rate, incident-prevention rate</t>
  </si>
  <si>
    <t xml:space="preserve">Enterprise annual monitoring contract to mining companies</t>
  </si>
  <si>
    <t xml:space="preserve">VLM-086</t>
  </si>
  <si>
    <t xml:space="preserve">Ore Grade &amp; Mineral Composition Visual Estimator</t>
  </si>
  <si>
    <t xml:space="preserve">Mining operations need faster on-site estimation of ore grade/mineral composition than slow lab assay turnaround allows.</t>
  </si>
  <si>
    <t xml:space="preserve">Samples are manually collected and sent to labs for assay, taking days for results.</t>
  </si>
  <si>
    <t xml:space="preserve">VLM analyzes rock/ore sample imagery (with spectral fusion) to provide rapid preliminary grade estimates on-site.</t>
  </si>
  <si>
    <t xml:space="preserve">Speeds up mine-planning decisions and reduces reliance on slow lab-assay turnaround for routine estimates.</t>
  </si>
  <si>
    <t xml:space="preserve">Custom ore sample imagery + spectral data</t>
  </si>
  <si>
    <t xml:space="preserve">Sample photos + spectral scans</t>
  </si>
  <si>
    <t xml:space="preserve">~10K sample images</t>
  </si>
  <si>
    <t xml:space="preserve">Geologist, Mine Planner, Lab Technician</t>
  </si>
  <si>
    <t xml:space="preserve">Visual grade estimation, mineral-type classification, confidence-interval reporting</t>
  </si>
  <si>
    <t xml:space="preserve">Fusion with hyperspectral/XRF sensor data, automated sampling-plan recommendation</t>
  </si>
  <si>
    <t xml:space="preserve">Mine planning software integration, lab-assay cross-validation workflow, multi-site benchmarking</t>
  </si>
  <si>
    <t xml:space="preserve">Mineral reporting standards (JORC/NI 43-101)</t>
  </si>
  <si>
    <t xml:space="preserve">Grade-estimate accuracy vs lab assay, decision turnaround-time reduction</t>
  </si>
  <si>
    <t xml:space="preserve">Per-site licensing + per-sample analysis fee to mining companies</t>
  </si>
  <si>
    <t xml:space="preserve">VLM-087</t>
  </si>
  <si>
    <t xml:space="preserve">Reforestation &amp; Land Reclamation Progress Tracker</t>
  </si>
  <si>
    <t xml:space="preserve">Mining companies must document land-reclamation/reforestation progress for regulatory compliance across large disturbed areas.</t>
  </si>
  <si>
    <t xml:space="preserve">Environmental staff manually survey and photograph reclamation sites periodically.</t>
  </si>
  <si>
    <t xml:space="preserve">VLM analyzes drone/satellite imagery over time to auto-track vegetation regrowth and reclamation-compliance progress.</t>
  </si>
  <si>
    <t xml:space="preserve">Reduces compliance-reporting labor and strengthens regulatory standing for reclamation bonds/permits.</t>
  </si>
  <si>
    <t xml:space="preserve">Custom reclamation-site time-series imagery</t>
  </si>
  <si>
    <t xml:space="preserve">Mining company/environmental partners</t>
  </si>
  <si>
    <t xml:space="preserve">Drone/satellite imagery time-series</t>
  </si>
  <si>
    <t xml:space="preserve">~10K image sets</t>
  </si>
  <si>
    <t xml:space="preserve">Environmental Compliance Officer, Regulator, Site Reclamation Manager</t>
  </si>
  <si>
    <t xml:space="preserve">Vegetation-cover estimation, species-diversity indication, compliance-milestone tracking</t>
  </si>
  <si>
    <t xml:space="preserve">Predictive reclamation-timeline forecasting, carbon-credit quantification support</t>
  </si>
  <si>
    <t xml:space="preserve">Environmental compliance reporting system integration, regulator portal submission, multi-site dashboard</t>
  </si>
  <si>
    <t xml:space="preserve">SMCRA reclamation regulations, environmental permitting law</t>
  </si>
  <si>
    <t xml:space="preserve">Vegetation-cover estimation accuracy, compliance-report acceptance rate</t>
  </si>
  <si>
    <t xml:space="preserve">Enterprise annual monitoring contract to mining companies + regulators</t>
  </si>
  <si>
    <t xml:space="preserve">VLM-088</t>
  </si>
  <si>
    <t xml:space="preserve">Mineral Processing Plant Visual Process Control Assistant</t>
  </si>
  <si>
    <t xml:space="preserve">Processing plants rely on operator visual judgment of slurry/froth appearance to control flotation and other separation processes.</t>
  </si>
  <si>
    <t xml:space="preserve">Operators visually inspect froth/slurry appearance and manually adjust process parameters based on experience.</t>
  </si>
  <si>
    <t xml:space="preserve">VLM analyzes real-time froth/slurry camera feeds to recommend process-parameter adjustments for optimal mineral recovery.</t>
  </si>
  <si>
    <t xml:space="preserve">Improves mineral-recovery rates and reduces reliance on scarce experienced-operator judgment.</t>
  </si>
  <si>
    <t xml:space="preserve">Custom flotation froth imagery</t>
  </si>
  <si>
    <t xml:space="preserve">Processing plant partners</t>
  </si>
  <si>
    <t xml:space="preserve">Real-time froth/slurry camera video</t>
  </si>
  <si>
    <t xml:space="preserve">Plant Operator, Process Engineer, Plant Manager</t>
  </si>
  <si>
    <t xml:space="preserve">Froth-appearance classification, recovery-rate correlation, parameter-adjustment recommendation</t>
  </si>
  <si>
    <t xml:space="preserve">Closed-loop control integration with plant DCS, multi-plant recovery-rate benchmarking</t>
  </si>
  <si>
    <t xml:space="preserve">Plant DCS/SCADA integration, real-time process-control dashboard, operator training-mode simulation</t>
  </si>
  <si>
    <t xml:space="preserve">Recovery-rate improvement %, parameter-recommendation adoption rate, process-stability metrics</t>
  </si>
  <si>
    <t xml:space="preserve">Enterprise per-plant licensing to mineral processing operations</t>
  </si>
  <si>
    <t xml:space="preserve">VLM-089</t>
  </si>
  <si>
    <t xml:space="preserve">Player Performance &amp; Tactical Analysis Platform</t>
  </si>
  <si>
    <t xml:space="preserve">Coaching staff spend enormous manual hours reviewing game film to extract tactical patterns and player performance data.</t>
  </si>
  <si>
    <t xml:space="preserve">Analysts manually tag and review game footage frame by frame for tactical insights.</t>
  </si>
  <si>
    <t xml:space="preserve">VLM analyzes match footage to auto-generate player tracking, tactical formation analysis, and performance summaries.</t>
  </si>
  <si>
    <t xml:space="preserve">Cuts video-analysis labor dramatically and surfaces tactical insights coaches would otherwise miss.</t>
  </si>
  <si>
    <t xml:space="preserve">SoccerNet (public) + team/league partners</t>
  </si>
  <si>
    <t xml:space="preserve">Match broadcast/tactical-cam footage</t>
  </si>
  <si>
    <t xml:space="preserve">Coach, Performance Analyst, Scout</t>
  </si>
  <si>
    <t xml:space="preserve">Player tracking, formation/tactical-pattern detection, auto-generated performance reports</t>
  </si>
  <si>
    <t xml:space="preserve">Opponent-scouting report generation, injury-risk movement-pattern flagging</t>
  </si>
  <si>
    <t xml:space="preserve">Team analytics platform integration, coaching-staff dashboard, multi-team league data-sharing options</t>
  </si>
  <si>
    <t xml:space="preserve">Athlete data privacy, encryption at rest/in transit, role-based access control, broadcast-rights audit logging</t>
  </si>
  <si>
    <t xml:space="preserve">League broadcast/data-rights agreements</t>
  </si>
  <si>
    <t xml:space="preserve">Tracking accuracy vs manual tagging, coach-adoption rate, analysis time-savings</t>
  </si>
  <si>
    <t xml:space="preserve">Per-team/league enterprise licensing</t>
  </si>
  <si>
    <t xml:space="preserve">VLM-090</t>
  </si>
  <si>
    <t xml:space="preserve">Youth Sports Talent Identification Vision Tool</t>
  </si>
  <si>
    <t xml:space="preserve">Youth sports organizations and scouts lack scalable, objective tools to identify promising athletic talent across large participant pools.</t>
  </si>
  <si>
    <t xml:space="preserve">Scouts manually attend games/tryouts to subjectively evaluate athletes.</t>
  </si>
  <si>
    <t xml:space="preserve">VLM analyzes tryout/game footage to objectively score athletic metrics (speed, agility, technique) for talent identification.</t>
  </si>
  <si>
    <t xml:space="preserve">Expands scouting reach to underserved regions and reduces subjective bias in talent evaluation.</t>
  </si>
  <si>
    <t xml:space="preserve">Custom youth-sports footage + pose datasets</t>
  </si>
  <si>
    <t xml:space="preserve">Youth league/academy partners</t>
  </si>
  <si>
    <t xml:space="preserve">Tryout/game video</t>
  </si>
  <si>
    <t xml:space="preserve">Youth Athlete, Coach, Scout, Parent</t>
  </si>
  <si>
    <t xml:space="preserve">Movement-metric extraction (speed/agility/technique), objective scoring, comparative benchmarking</t>
  </si>
  <si>
    <t xml:space="preserve">Long-term athlete-development tracking, injury-risk movement-pattern screening</t>
  </si>
  <si>
    <t xml:space="preserve">League/academy management system integration, parent/coach-facing reporting portal, multi-region scouting network</t>
  </si>
  <si>
    <t xml:space="preserve">Youth data-privacy regulations (COPPA), safeguarding standards</t>
  </si>
  <si>
    <t xml:space="preserve">Metric-extraction accuracy vs lab motion-capture, scout-adoption rate</t>
  </si>
  <si>
    <t xml:space="preserve">Per-athlete/per-academy SaaS subscription</t>
  </si>
  <si>
    <t xml:space="preserve">VLM-091</t>
  </si>
  <si>
    <t xml:space="preserve">Referee Decision Support &amp; Review Assistant</t>
  </si>
  <si>
    <t xml:space="preserve">Leagues face controversy and inconsistency from human referee errors on close, fast-moving calls.</t>
  </si>
  <si>
    <t xml:space="preserve">Referees make real-time judgment calls with only limited video-replay review available.</t>
  </si>
  <si>
    <t xml:space="preserve">VLM analyzes multi-angle footage in real time to provide referees with objective decision-support evidence for close calls.</t>
  </si>
  <si>
    <t xml:space="preserve">Improves call accuracy and reduces game-controversy/dispute time for leagues.</t>
  </si>
  <si>
    <t xml:space="preserve">Custom multi-angle sports footage</t>
  </si>
  <si>
    <t xml:space="preserve">League broadcast partners</t>
  </si>
  <si>
    <t xml:space="preserve">Multi-camera match footage</t>
  </si>
  <si>
    <t xml:space="preserve">Referee, League Officiating Director, Broadcaster</t>
  </si>
  <si>
    <t xml:space="preserve">Multi-angle event reconstruction, rule-violation likelihood scoring, instant-replay evidence packaging</t>
  </si>
  <si>
    <t xml:space="preserve">3D trajectory reconstruction for offside/boundary calls, historical-decision consistency auditing</t>
  </si>
  <si>
    <t xml:space="preserve">League officiating system integration, broadcast-graphics overlay, real-time low-latency processing</t>
  </si>
  <si>
    <t xml:space="preserve">League rulebook/officiating governance standards</t>
  </si>
  <si>
    <t xml:space="preserve">Decision-accuracy improvement vs human-only calls, review-time reduction</t>
  </si>
  <si>
    <t xml:space="preserve">Enterprise contract licensing to sports leagues</t>
  </si>
  <si>
    <t xml:space="preserve">VLM-092</t>
  </si>
  <si>
    <t xml:space="preserve">Stadium Crowd Safety &amp; Sentiment Monitor</t>
  </si>
  <si>
    <t xml:space="preserve">Stadium operators need real-time visibility into crowd safety risks and fan experience across massive venues.</t>
  </si>
  <si>
    <t xml:space="preserve">Security staff manually monitor camera banks for crowd-safety issues across the venue.</t>
  </si>
  <si>
    <t xml:space="preserve">VLM analyzes stadium-wide camera feeds to detect crowd-crush risk, altercations, and medical-emergency indicators in real time.</t>
  </si>
  <si>
    <t xml:space="preserve">Improves fan safety response times and reduces liability risk for stadium operators.</t>
  </si>
  <si>
    <t xml:space="preserve">Custom stadium crowd footage</t>
  </si>
  <si>
    <t xml:space="preserve">Stadium/venue operator partners</t>
  </si>
  <si>
    <t xml:space="preserve">Venue-wide CCTV video</t>
  </si>
  <si>
    <t xml:space="preserve">Venue Security, Event Operations Manager, Emergency Services</t>
  </si>
  <si>
    <t xml:space="preserve">Crowd-density/crush-risk detection, altercation detection, medical-emergency indicator flagging</t>
  </si>
  <si>
    <t xml:space="preserve">Predictive crowd-flow modeling for egress planning, multi-venue benchmarking network</t>
  </si>
  <si>
    <t xml:space="preserve">Venue security operations center integration, emergency-services alerting, multi-event dashboard</t>
  </si>
  <si>
    <t xml:space="preserve">Venue safety codes, crowd-safety regulations (e.g., post-Hillsborough-style standards)</t>
  </si>
  <si>
    <t xml:space="preserve">Risk-detection precision/recall, response-time reduction, incident-rate reduction</t>
  </si>
  <si>
    <t xml:space="preserve">Per-venue annual licensing to stadiums/arenas</t>
  </si>
  <si>
    <t xml:space="preserve">VLM-093</t>
  </si>
  <si>
    <t xml:space="preserve">Illegal Deforestation Detection from Satellite Imagery</t>
  </si>
  <si>
    <t xml:space="preserve">Environmental agencies and NGOs struggle to detect illegal logging/deforestation quickly enough to intervene across vast forest areas.</t>
  </si>
  <si>
    <t xml:space="preserve">Rangers conduct sparse ground patrols and rely on delayed manual satellite-image review.</t>
  </si>
  <si>
    <t xml:space="preserve">VLM continuously analyzes satellite imagery to detect deforestation events and classify likely cause (logging/fire/agriculture).</t>
  </si>
  <si>
    <t xml:space="preserve">Enables near-real-time intervention against illegal deforestation, supporting conservation and carbon-credit integrity.</t>
  </si>
  <si>
    <t xml:space="preserve">Global Forest Watch imagery + Hansen dataset</t>
  </si>
  <si>
    <t xml:space="preserve">Global Forest Watch/Hansen (public)</t>
  </si>
  <si>
    <t xml:space="preserve">~40K image tiles</t>
  </si>
  <si>
    <t xml:space="preserve">Forest Ranger, NGO Conservation Officer, Government Environmental Agency</t>
  </si>
  <si>
    <t xml:space="preserve">Deforestation-event detection, cause classification, alert generation to rangers/NGOs</t>
  </si>
  <si>
    <t xml:space="preserve">Carbon-loss quantification, predictive deforestation-risk mapping for prioritized patrol</t>
  </si>
  <si>
    <t xml:space="preserve">Ranger dispatch system integration, NGO/government reporting portal, carbon-credit verification API</t>
  </si>
  <si>
    <t xml:space="preserve">Field-data integrity controls, encryption in transit, role-based access control, verification-ready audit trail</t>
  </si>
  <si>
    <t xml:space="preserve">International forestry/carbon-market verification standards (REDD+, Verra)</t>
  </si>
  <si>
    <t xml:space="preserve">Detection precision/recall, alert-to-intervention time reduction, deforestation-rate reduction in monitored areas</t>
  </si>
  <si>
    <t xml:space="preserve">NGO/government grant-funded licensing + carbon-credit verification service fee</t>
  </si>
  <si>
    <t xml:space="preserve">VLM-094</t>
  </si>
  <si>
    <t xml:space="preserve">Marine Debris &amp; Coral Reef Health Monitor</t>
  </si>
  <si>
    <t xml:space="preserve">Marine conservation organizations lack scalable tools to monitor coral reef bleaching and marine debris across vast ocean areas.</t>
  </si>
  <si>
    <t xml:space="preserve">Divers manually survey reef sections and document debris/bleaching through underwater photography.</t>
  </si>
  <si>
    <t xml:space="preserve">VLM analyzes underwater drone/diver imagery to assess coral bleaching severity and detect marine debris accumulation.</t>
  </si>
  <si>
    <t xml:space="preserve">Enables larger-scale reef monitoring than manual diver surveys allow, supporting conservation funding and intervention targeting.</t>
  </si>
  <si>
    <t xml:space="preserve">Custom coral reef imagery + CoralNet-style annotations</t>
  </si>
  <si>
    <t xml:space="preserve">CoralNet (public-adjacent) + conservation partners</t>
  </si>
  <si>
    <t xml:space="preserve">Underwater drone/diver imagery</t>
  </si>
  <si>
    <t xml:space="preserve">~15K reef images</t>
  </si>
  <si>
    <t xml:space="preserve">Marine Biologist, Conservation NGO, Dive Operator</t>
  </si>
  <si>
    <t xml:space="preserve">Bleaching-severity classification, debris detection, reef-health index scoring</t>
  </si>
  <si>
    <t xml:space="preserve">Time-series reef-health trend tracking, species-diversity estimation from imagery</t>
  </si>
  <si>
    <t xml:space="preserve">Conservation NGO reporting platform integration, research-institution data-sharing, multi-reef global dashboard</t>
  </si>
  <si>
    <t xml:space="preserve">Marine protected area regulations</t>
  </si>
  <si>
    <t xml:space="preserve">Bleaching-classification accuracy, debris-detection recall, monitoring-coverage increase</t>
  </si>
  <si>
    <t xml:space="preserve">NGO/research grant funding + conservation-fund enterprise licensing</t>
  </si>
  <si>
    <t xml:space="preserve">VLM-095</t>
  </si>
  <si>
    <t xml:space="preserve">Air Quality Visual Smog &amp; Emission Source Detector</t>
  </si>
  <si>
    <t xml:space="preserve">Environmental regulators struggle to identify specific industrial emission-source violations amid widespread air-quality readings.</t>
  </si>
  <si>
    <t xml:space="preserve">Inspectors manually visit facilities to visually assess smokestack emissions and file violation reports.</t>
  </si>
  <si>
    <t xml:space="preserve">VLM analyzes fixed-camera/drone imagery of industrial smokestacks to detect visible emission violations and estimate opacity levels.</t>
  </si>
  <si>
    <t xml:space="preserve">Improves regulatory enforcement efficiency and supports faster identification of pollution-source violators.</t>
  </si>
  <si>
    <t xml:space="preserve">Custom smokestack emission imagery</t>
  </si>
  <si>
    <t xml:space="preserve">Environmental agency partners</t>
  </si>
  <si>
    <t xml:space="preserve">Fixed-camera/drone smokestack imagery</t>
  </si>
  <si>
    <t xml:space="preserve">~10K emission images</t>
  </si>
  <si>
    <t xml:space="preserve">Environmental Inspector, Regulator, Facility Operator</t>
  </si>
  <si>
    <t xml:space="preserve">Opacity-level estimation, violation-threshold flagging, source-facility identification</t>
  </si>
  <si>
    <t xml:space="preserve">Trend-based compliance-risk scoring per facility, correlation with sensor-network air-quality data</t>
  </si>
  <si>
    <t xml:space="preserve">Environmental agency case-management system integration, regulatory enforcement workflow, public-transparency dashboard</t>
  </si>
  <si>
    <t xml:space="preserve">Clean Air Act, EPA opacity/emissions regulations</t>
  </si>
  <si>
    <t xml:space="preserve">Opacity-estimation accuracy vs certified reader, violation-detection precision/recall</t>
  </si>
  <si>
    <t xml:space="preserve">Government agency contract licensing</t>
  </si>
  <si>
    <t xml:space="preserve">VLM-096</t>
  </si>
  <si>
    <t xml:space="preserve">Wildfire Smoke &amp; Spread Early Detection Network</t>
  </si>
  <si>
    <t xml:space="preserve">Fire agencies need to detect wildfire ignition and smoke as early as possible to minimize spread and damage.</t>
  </si>
  <si>
    <t xml:space="preserve">Fire lookouts and satellite-image reviewers manually scan for smoke signs, causing detection delays.</t>
  </si>
  <si>
    <t xml:space="preserve">VLM continuously analyzes tower-camera and satellite feeds to detect smoke plumes and estimate fire-spread direction in real time.</t>
  </si>
  <si>
    <t xml:space="preserve">Cuts wildfire detection time significantly, enabling faster suppression response and reduced acreage burned.</t>
  </si>
  <si>
    <t xml:space="preserve">FIgLib + custom fire-tower camera footage</t>
  </si>
  <si>
    <t xml:space="preserve">FIgLib (public) + fire agency partners</t>
  </si>
  <si>
    <t xml:space="preserve">Fire-tower/satellite camera imagery</t>
  </si>
  <si>
    <t xml:space="preserve">~20K labeled images</t>
  </si>
  <si>
    <t xml:space="preserve">Fire Lookout, Dispatcher, Incident Commander, Public/Resident</t>
  </si>
  <si>
    <t xml:space="preserve">Smoke-plume detection, fire-spread direction estimation, real-time dispatcher alerting</t>
  </si>
  <si>
    <t xml:space="preserve">Multi-sensor fusion (satellite + tower + weather), predictive spread-modeling integration</t>
  </si>
  <si>
    <t xml:space="preserve">Fire dispatch/CAD system integration, multi-agency mutual-aid coordination, public wildfire-alert app</t>
  </si>
  <si>
    <t xml:space="preserve">State/federal wildland fire management protocols</t>
  </si>
  <si>
    <t xml:space="preserve">Detection-time reduction vs human lookout, false-alarm rate, acreage-burned reduction</t>
  </si>
  <si>
    <t xml:space="preserve">Government/state fire-agency contract licensing</t>
  </si>
  <si>
    <t xml:space="preserve">VLM-097</t>
  </si>
  <si>
    <t xml:space="preserve">Cell Tower &amp; Network Infrastructure Inspection AI</t>
  </si>
  <si>
    <t xml:space="preserve">Telecom carriers face costly, risky manual climbing inspections to assess cell-tower antenna alignment and equipment condition.</t>
  </si>
  <si>
    <t xml:space="preserve">Tower climbers manually inspect antennas, cabling, and equipment during scheduled climbs.</t>
  </si>
  <si>
    <t xml:space="preserve">VLM analyzes drone-captured tower imagery to detect antenna misalignment, corrosion, and equipment defects.</t>
  </si>
  <si>
    <t xml:space="preserve">Reduces dangerous tower-climb frequency and speeds up network-quality-related maintenance response.</t>
  </si>
  <si>
    <t xml:space="preserve">Custom cell-tower drone imagery</t>
  </si>
  <si>
    <t xml:space="preserve">Carrier/tower-company partners</t>
  </si>
  <si>
    <t xml:space="preserve">Drone tower imagery</t>
  </si>
  <si>
    <t xml:space="preserve">~12K component images</t>
  </si>
  <si>
    <t xml:space="preserve">Tower Technician, Network Operations Engineer, Tower Company Asset Manager</t>
  </si>
  <si>
    <t xml:space="preserve">Antenna-alignment detection, corrosion/defect classification, equipment-inventory verification</t>
  </si>
  <si>
    <t xml:space="preserve">Signal-quality correlation with detected misalignment, predictive maintenance scheduling across tower fleets</t>
  </si>
  <si>
    <t xml:space="preserve">Tower asset-management system integration, carrier network-operations dashboard, multi-tower-company fleet analytics</t>
  </si>
  <si>
    <t xml:space="preserve">Customer/network data protection, encryption at rest/in transit, role-based access control, network-change audit logging</t>
  </si>
  <si>
    <t xml:space="preserve">FCC/OSHA tower-safety regulations</t>
  </si>
  <si>
    <t xml:space="preserve">Defect-detection accuracy, alignment-detection precision, climb-frequency reduction</t>
  </si>
  <si>
    <t xml:space="preserve">Per-tower inspection contract + fleet-monitoring SaaS to carriers/tower companies</t>
  </si>
  <si>
    <t xml:space="preserve">VLM-098</t>
  </si>
  <si>
    <t xml:space="preserve">Fiber Network Splice &amp; Cabinet Documentation Assistant</t>
  </si>
  <si>
    <t xml:space="preserve">Telecom field technicians spend significant time manually documenting fiber splice configurations and cabinet contents for network records.</t>
  </si>
  <si>
    <t xml:space="preserve">Technicians manually photograph and hand-log splice trays and cabinet configurations.</t>
  </si>
  <si>
    <t xml:space="preserve">VLM reads splice-tray and cabinet photos to auto-generate structured network documentation and detect labeling errors.</t>
  </si>
  <si>
    <t xml:space="preserve">Improves network-record accuracy and reduces technician documentation time on every field visit.</t>
  </si>
  <si>
    <t xml:space="preserve">Custom fiber cabinet/splice imagery</t>
  </si>
  <si>
    <t xml:space="preserve">Carrier field-ops partners</t>
  </si>
  <si>
    <t xml:space="preserve">Cabinet/splice tray photos</t>
  </si>
  <si>
    <t xml:space="preserve">~20K cabinet images</t>
  </si>
  <si>
    <t xml:space="preserve">Field Technician, Network Operations Engineer, Network Planner</t>
  </si>
  <si>
    <t xml:space="preserve">Component/label recognition, configuration-documentation generation, error-flagging</t>
  </si>
  <si>
    <t xml:space="preserve">Cross-record consistency-check against network-inventory database, predictive fault-risk from labeling errors</t>
  </si>
  <si>
    <t xml:space="preserve">OSS/inventory system integration, field-technician mobile app, multi-region network-record dashboard</t>
  </si>
  <si>
    <t xml:space="preserve">Documentation-accuracy improvement, labeling-error detection rate, field-visit time reduction</t>
  </si>
  <si>
    <t xml:space="preserve">Per-technician SaaS subscription to telecom carriers</t>
  </si>
  <si>
    <t xml:space="preserve">VLM-099</t>
  </si>
  <si>
    <t xml:space="preserve">Customer Self-Install Device Troubleshooting Assistant</t>
  </si>
  <si>
    <t xml:space="preserve">Telecom carriers face high support-call volume from customers struggling with modem/router self-installation and cabling issues.</t>
  </si>
  <si>
    <t xml:space="preserve">Customers call support and describe issues verbally, often leading to unnecessary truck rolls.</t>
  </si>
  <si>
    <t xml:space="preserve">VLM lets customers photograph their equipment/cabling setup for automated issue diagnosis and step-by-step visual guidance.</t>
  </si>
  <si>
    <t xml:space="preserve">Reduces costly truck-roll dispatches and improves customer self-install success rates.</t>
  </si>
  <si>
    <t xml:space="preserve">Custom modem/router/cabling photo corpus</t>
  </si>
  <si>
    <t xml:space="preserve">Carrier partners</t>
  </si>
  <si>
    <t xml:space="preserve">Customer-submitted equipment photos</t>
  </si>
  <si>
    <t xml:space="preserve">~10K device/cabling photos</t>
  </si>
  <si>
    <t xml:space="preserve">Customer, Customer Support Agent, Field Technician</t>
  </si>
  <si>
    <t xml:space="preserve">Device/port/cable-state recognition, issue diagnosis, visual step-by-step fix guidance</t>
  </si>
  <si>
    <t xml:space="preserve">Predictive equipment-failure flagging, automated truck-roll necessity scoring</t>
  </si>
  <si>
    <t xml:space="preserve">Customer support platform (CRM) integration, mobile self-service app, field-dispatch workflow</t>
  </si>
  <si>
    <t xml:space="preserve">Consumer telecom service regulations</t>
  </si>
  <si>
    <t xml:space="preserve">Diagnosis accuracy, truck-roll reduction rate, customer self-resolution rate</t>
  </si>
  <si>
    <t xml:space="preserve">Cost-savings-based enterprise licensing to telecom carriers (per-avoided-truck-roll pricing)</t>
  </si>
  <si>
    <t xml:space="preserve">VLM-100</t>
  </si>
  <si>
    <t xml:space="preserve">Retail Store Network Equipment Rollout Verifier</t>
  </si>
  <si>
    <t xml:space="preserve">Carriers and retail-network operators struggle to verify correct multi-site rollout of signage, kiosks, and network equipment during large deployments.</t>
  </si>
  <si>
    <t xml:space="preserve">Field auditors manually visit each site to photograph and checklist-verify installed equipment against rollout specs.</t>
  </si>
  <si>
    <t xml:space="preserve">VLM analyzes site-submitted installation photos to auto-verify equipment placement, signage compliance, and branding accuracy against rollout specs.</t>
  </si>
  <si>
    <t xml:space="preserve">Speeds up large-scale multi-site rollouts and reduces costly re-visit rates for correction.</t>
  </si>
  <si>
    <t xml:space="preserve">Custom multi-site rollout imagery</t>
  </si>
  <si>
    <t xml:space="preserve">Carrier/retail rollout partners</t>
  </si>
  <si>
    <t xml:space="preserve">Site installation photos</t>
  </si>
  <si>
    <t xml:space="preserve">~12K site images</t>
  </si>
  <si>
    <t xml:space="preserve">Field Installer, Rollout Program Manager, Brand Compliance Officer</t>
  </si>
  <si>
    <t xml:space="preserve">Placement/signage compliance check, brand-standard verification, pass/fail scoring per site</t>
  </si>
  <si>
    <t xml:space="preserve">Cross-site rollout-quality benchmarking, predictive re-visit risk scoring by installer crew</t>
  </si>
  <si>
    <t xml:space="preserve">Rollout project-management system integration, multi-region program dashboard, vendor-performance scorecarding</t>
  </si>
  <si>
    <t xml:space="preserve">Brand licensing/franchise compliance standards</t>
  </si>
  <si>
    <t xml:space="preserve">Compliance-verification accuracy, re-visit-rate reduction, rollout-time reduction</t>
  </si>
  <si>
    <t xml:space="preserve">Per-site verification fee to carriers and retail network operators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</si>
</sst>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C7AB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97CD7E"/>
          <bgColor rgb="FF000000"/>
        </patternFill>
      </fill>
    </dxf>
    <dxf>
      <fill>
        <patternFill patternType="solid">
          <fgColor rgb="FFCBDC81"/>
          <bgColor rgb="FF000000"/>
        </patternFill>
      </fill>
    </dxf>
    <dxf>
      <fill>
        <patternFill patternType="solid">
          <fgColor rgb="FFFA9473"/>
          <bgColor rgb="FF000000"/>
        </patternFill>
      </fill>
    </dxf>
    <dxf>
      <fill>
        <patternFill patternType="solid">
          <fgColor rgb="FFFCBF7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90CB7E"/>
          <bgColor rgb="FF000000"/>
        </patternFill>
      </fill>
    </dxf>
    <dxf>
      <fill>
        <patternFill patternType="solid">
          <fgColor rgb="FFBDD881"/>
          <bgColor rgb="FF000000"/>
        </patternFill>
      </fill>
    </dxf>
    <dxf>
      <fill>
        <patternFill patternType="solid">
          <fgColor rgb="FFE9E583"/>
          <bgColor rgb="FF000000"/>
        </patternFill>
      </fill>
    </dxf>
    <dxf>
      <fill>
        <patternFill patternType="solid">
          <fgColor rgb="FFF98570"/>
          <bgColor rgb="FF000000"/>
        </patternFill>
      </fill>
    </dxf>
    <dxf>
      <fill>
        <patternFill patternType="solid">
          <fgColor rgb="FFFBA276"/>
          <bgColor rgb="FF000000"/>
        </patternFill>
      </fill>
    </dxf>
    <dxf>
      <fill>
        <patternFill patternType="solid">
          <fgColor rgb="FFFEDC81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AB"/>
        </patternFill>
      </fill>
    </dxf>
    <dxf>
      <fill>
        <patternFill>
          <bgColor rgb="FFF8696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FCC"/>
      <rgbColor rgb="FFCCFFFF"/>
      <rgbColor rgb="FF660066"/>
      <rgbColor rgb="FFF8696B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AB"/>
      <rgbColor rgb="FF4F81BD"/>
      <rgbColor rgb="FF33CCCC"/>
      <rgbColor rgb="FF9BBB59"/>
      <rgbColor rgb="FFFFCC00"/>
      <rgbColor rgb="FFFF9900"/>
      <rgbColor rgb="FFFF6600"/>
      <rgbColor rgb="FF6B7280"/>
      <rgbColor rgb="FF8064A2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Projects by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Summary!B5</c:f>
              <c:strCache>
                <c:ptCount val="1"/>
                <c:pt idx="0">
                  <c:v>Project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Summary!$A$6:$A$30</c:f>
              <c:strCache>
                <c:ptCount val="25"/>
                <c:pt idx="0">
                  <c:v>Aerospace</c:v>
                </c:pt>
                <c:pt idx="1">
                  <c:v>Agriculture</c:v>
                </c:pt>
                <c:pt idx="2">
                  <c:v>Automotive</c:v>
                </c:pt>
                <c:pt idx="3">
                  <c:v>Banking &amp; Finance</c:v>
                </c:pt>
                <c:pt idx="4">
                  <c:v>Construction</c:v>
                </c:pt>
                <c:pt idx="5">
                  <c:v>Cybersecurity</c:v>
                </c:pt>
                <c:pt idx="6">
                  <c:v>Defense</c:v>
                </c:pt>
                <c:pt idx="7">
                  <c:v>Education</c:v>
                </c:pt>
                <c:pt idx="8">
                  <c:v>Energy &amp; Utilities</c:v>
                </c:pt>
                <c:pt idx="9">
                  <c:v>Environmental &amp; Climate</c:v>
                </c:pt>
                <c:pt idx="10">
                  <c:v>Government &amp; Public Sector</c:v>
                </c:pt>
                <c:pt idx="11">
                  <c:v>Healthcare</c:v>
                </c:pt>
                <c:pt idx="12">
                  <c:v>Hospitality &amp; Travel</c:v>
                </c:pt>
                <c:pt idx="13">
                  <c:v>Insurance</c:v>
                </c:pt>
                <c:pt idx="14">
                  <c:v>Legal Tech</c:v>
                </c:pt>
                <c:pt idx="15">
                  <c:v>Logistics &amp; Supply Chain</c:v>
                </c:pt>
                <c:pt idx="16">
                  <c:v>Manufacturing</c:v>
                </c:pt>
                <c:pt idx="17">
                  <c:v>Media &amp; Entertainment</c:v>
                </c:pt>
                <c:pt idx="18">
                  <c:v>Mining &amp; Natural Resources</c:v>
                </c:pt>
                <c:pt idx="19">
                  <c:v>Real Estate</c:v>
                </c:pt>
                <c:pt idx="20">
                  <c:v>Retail &amp; E-commerce</c:v>
                </c:pt>
                <c:pt idx="21">
                  <c:v>Robotics</c:v>
                </c:pt>
                <c:pt idx="22">
                  <c:v>Smart Cities</c:v>
                </c:pt>
                <c:pt idx="23">
                  <c:v>Sports Analytics</c:v>
                </c:pt>
                <c:pt idx="24">
                  <c:v>Telecommunications</c:v>
                </c:pt>
              </c:strCache>
            </c:strRef>
          </c:cat>
          <c:val>
            <c:numRef>
              <c:f>Summary!$B$6:$B$30</c:f>
              <c:numCache>
                <c:formatCode>General</c:formatCode>
                <c:ptCount val="2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</c:numCache>
            </c:numRef>
          </c:val>
        </c:ser>
        <c:gapWidth val="150"/>
        <c:overlap val="0"/>
        <c:axId val="44848601"/>
        <c:axId val="7851163"/>
      </c:barChart>
      <c:catAx>
        <c:axId val="4484860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Projects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1163"/>
        <c:crosses val="autoZero"/>
        <c:auto val="1"/>
        <c:lblAlgn val="ctr"/>
        <c:lblOffset val="100"/>
        <c:noMultiLvlLbl val="0"/>
      </c:catAx>
      <c:valAx>
        <c:axId val="7851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Industry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486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Projects by Difficulty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Summary!E5</c:f>
              <c:strCache>
                <c:ptCount val="1"/>
                <c:pt idx="0">
                  <c:v>Project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Summary!$D$6:$D$9</c:f>
              <c:strCache>
                <c:ptCount val="4"/>
                <c:pt idx="0">
                  <c:v>Beginner</c:v>
                </c:pt>
                <c:pt idx="1">
                  <c:v>Intermediate</c:v>
                </c:pt>
                <c:pt idx="2">
                  <c:v>Advanced</c:v>
                </c:pt>
                <c:pt idx="3">
                  <c:v>Enterprise/Research</c:v>
                </c:pt>
              </c:strCache>
            </c:strRef>
          </c:cat>
          <c:val>
            <c:numRef>
              <c:f>Summary!$E$6:$E$9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Projects by Recommended VLM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Summary!E14</c:f>
              <c:strCache>
                <c:ptCount val="1"/>
                <c:pt idx="0">
                  <c:v>Project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Summary!$D$15:$D$19</c:f>
              <c:strCache>
                <c:ptCount val="5"/>
                <c:pt idx="0">
                  <c:v>CLIP</c:v>
                </c:pt>
                <c:pt idx="1">
                  <c:v>Florence-2</c:v>
                </c:pt>
                <c:pt idx="2">
                  <c:v>GPT-4o</c:v>
                </c:pt>
                <c:pt idx="3">
                  <c:v>Gemini</c:v>
                </c:pt>
                <c:pt idx="4">
                  <c:v>Qwen2.5-VL</c:v>
                </c:pt>
              </c:strCache>
            </c:strRef>
          </c:cat>
          <c:val>
            <c:numRef>
              <c:f>Summary!$E$15:$E$19</c:f>
              <c:numCache>
                <c:formatCode>General</c:formatCode>
                <c:ptCount val="5"/>
                <c:pt idx="0">
                  <c:v>4</c:v>
                </c:pt>
                <c:pt idx="1">
                  <c:v>16</c:v>
                </c:pt>
                <c:pt idx="2">
                  <c:v>8</c:v>
                </c:pt>
                <c:pt idx="3">
                  <c:v>52</c:v>
                </c:pt>
                <c:pt idx="4">
                  <c:v>20</c:v>
                </c:pt>
              </c:numCache>
            </c:numRef>
          </c:val>
        </c:ser>
        <c:gapWidth val="150"/>
        <c:overlap val="0"/>
        <c:axId val="21276100"/>
        <c:axId val="1045328"/>
      </c:barChart>
      <c:catAx>
        <c:axId val="21276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5328"/>
        <c:crosses val="autoZero"/>
        <c:auto val="1"/>
        <c:lblAlgn val="ctr"/>
        <c:lblOffset val="100"/>
        <c:noMultiLvlLbl val="0"/>
      </c:catAx>
      <c:valAx>
        <c:axId val="10453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761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29</xdr:row>
      <xdr:rowOff>56880</xdr:rowOff>
    </xdr:to>
    <xdr:graphicFrame>
      <xdr:nvGraphicFramePr>
        <xdr:cNvPr id="0" name="Chart 1"/>
        <xdr:cNvGraphicFramePr/>
      </xdr:nvGraphicFramePr>
      <xdr:xfrm>
        <a:off x="7307640" y="57168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30</xdr:row>
      <xdr:rowOff>160560</xdr:rowOff>
    </xdr:from>
    <xdr:to>
      <xdr:col>13</xdr:col>
      <xdr:colOff>39240</xdr:colOff>
      <xdr:row>47</xdr:row>
      <xdr:rowOff>161640</xdr:rowOff>
    </xdr:to>
    <xdr:graphicFrame>
      <xdr:nvGraphicFramePr>
        <xdr:cNvPr id="1" name="Chart 2"/>
        <xdr:cNvGraphicFramePr/>
      </xdr:nvGraphicFramePr>
      <xdr:xfrm>
        <a:off x="7307640" y="590544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30</xdr:row>
      <xdr:rowOff>160560</xdr:rowOff>
    </xdr:from>
    <xdr:to>
      <xdr:col>22</xdr:col>
      <xdr:colOff>147600</xdr:colOff>
      <xdr:row>47</xdr:row>
      <xdr:rowOff>161640</xdr:rowOff>
    </xdr:to>
    <xdr:graphicFrame>
      <xdr:nvGraphicFramePr>
        <xdr:cNvPr id="2" name="Chart 3"/>
        <xdr:cNvGraphicFramePr/>
      </xdr:nvGraphicFramePr>
      <xdr:xfrm>
        <a:off x="12199680" y="590544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D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  <c r="D5" s="4" t="s">
        <v>4</v>
      </c>
      <c r="E5" s="4" t="s">
        <v>5</v>
      </c>
    </row>
    <row r="6" customFormat="false" ht="15" hidden="false" customHeight="false" outlineLevel="0" collapsed="false">
      <c r="A6" s="5" t="s">
        <v>6</v>
      </c>
      <c r="B6" s="5" t="n">
        <f aca="false">COUNTIF('VLM Projects'!$C$2:$C$101,A6)</f>
        <v>4</v>
      </c>
      <c r="D6" s="5" t="s">
        <v>7</v>
      </c>
      <c r="E6" s="5" t="n">
        <f aca="false">COUNTIF('VLM Projects'!$H$2:$H$101,D6)</f>
        <v>20</v>
      </c>
    </row>
    <row r="7" customFormat="false" ht="15" hidden="false" customHeight="false" outlineLevel="0" collapsed="false">
      <c r="A7" s="5" t="s">
        <v>8</v>
      </c>
      <c r="B7" s="5" t="n">
        <f aca="false">COUNTIF('VLM Projects'!$C$2:$C$101,A7)</f>
        <v>4</v>
      </c>
      <c r="D7" s="5" t="s">
        <v>9</v>
      </c>
      <c r="E7" s="5" t="n">
        <f aca="false">COUNTIF('VLM Projects'!$H$2:$H$101,D7)</f>
        <v>20</v>
      </c>
    </row>
    <row r="8" customFormat="false" ht="15" hidden="false" customHeight="false" outlineLevel="0" collapsed="false">
      <c r="A8" s="5" t="s">
        <v>10</v>
      </c>
      <c r="B8" s="5" t="n">
        <f aca="false">COUNTIF('VLM Projects'!$C$2:$C$101,A8)</f>
        <v>4</v>
      </c>
      <c r="D8" s="5" t="s">
        <v>11</v>
      </c>
      <c r="E8" s="5" t="n">
        <f aca="false">COUNTIF('VLM Projects'!$H$2:$H$101,D8)</f>
        <v>30</v>
      </c>
    </row>
    <row r="9" customFormat="false" ht="15" hidden="false" customHeight="false" outlineLevel="0" collapsed="false">
      <c r="A9" s="5" t="s">
        <v>12</v>
      </c>
      <c r="B9" s="5" t="n">
        <f aca="false">COUNTIF('VLM Projects'!$C$2:$C$101,A9)</f>
        <v>4</v>
      </c>
      <c r="D9" s="5" t="s">
        <v>13</v>
      </c>
      <c r="E9" s="5" t="n">
        <f aca="false">COUNTIF('VLM Projects'!$H$2:$H$101,D9)</f>
        <v>30</v>
      </c>
    </row>
    <row r="10" customFormat="false" ht="15" hidden="false" customHeight="false" outlineLevel="0" collapsed="false">
      <c r="A10" s="5" t="s">
        <v>14</v>
      </c>
      <c r="B10" s="5" t="n">
        <f aca="false">COUNTIF('VLM Projects'!$C$2:$C$101,A10)</f>
        <v>4</v>
      </c>
    </row>
    <row r="11" customFormat="false" ht="15" hidden="false" customHeight="false" outlineLevel="0" collapsed="false">
      <c r="A11" s="5" t="s">
        <v>15</v>
      </c>
      <c r="B11" s="5" t="n">
        <f aca="false">COUNTIF('VLM Projects'!$C$2:$C$101,A11)</f>
        <v>4</v>
      </c>
      <c r="D11" s="6" t="s">
        <v>16</v>
      </c>
      <c r="E11" s="6" t="n">
        <f aca="false">SUM(E6:E9)</f>
        <v>100</v>
      </c>
    </row>
    <row r="12" customFormat="false" ht="15" hidden="false" customHeight="false" outlineLevel="0" collapsed="false">
      <c r="A12" s="5" t="s">
        <v>17</v>
      </c>
      <c r="B12" s="5" t="n">
        <f aca="false">COUNTIF('VLM Projects'!$C$2:$C$101,A12)</f>
        <v>4</v>
      </c>
    </row>
    <row r="13" customFormat="false" ht="15" hidden="false" customHeight="false" outlineLevel="0" collapsed="false">
      <c r="A13" s="5" t="s">
        <v>18</v>
      </c>
      <c r="B13" s="5" t="n">
        <f aca="false">COUNTIF('VLM Projects'!$C$2:$C$101,A13)</f>
        <v>4</v>
      </c>
      <c r="D13" s="3" t="s">
        <v>19</v>
      </c>
    </row>
    <row r="14" customFormat="false" ht="15" hidden="false" customHeight="false" outlineLevel="0" collapsed="false">
      <c r="A14" s="5" t="s">
        <v>20</v>
      </c>
      <c r="B14" s="5" t="n">
        <f aca="false">COUNTIF('VLM Projects'!$C$2:$C$101,A14)</f>
        <v>4</v>
      </c>
      <c r="D14" s="4" t="s">
        <v>4</v>
      </c>
      <c r="E14" s="4" t="s">
        <v>5</v>
      </c>
    </row>
    <row r="15" customFormat="false" ht="15" hidden="false" customHeight="false" outlineLevel="0" collapsed="false">
      <c r="A15" s="5" t="s">
        <v>21</v>
      </c>
      <c r="B15" s="5" t="n">
        <f aca="false">COUNTIF('VLM Projects'!$C$2:$C$101,A15)</f>
        <v>4</v>
      </c>
      <c r="D15" s="5" t="s">
        <v>22</v>
      </c>
      <c r="E15" s="5" t="n">
        <f aca="false">COUNTIF('VLM Projects'!$J$2:$J$101,D15)</f>
        <v>4</v>
      </c>
    </row>
    <row r="16" customFormat="false" ht="15" hidden="false" customHeight="false" outlineLevel="0" collapsed="false">
      <c r="A16" s="5" t="s">
        <v>23</v>
      </c>
      <c r="B16" s="5" t="n">
        <f aca="false">COUNTIF('VLM Projects'!$C$2:$C$101,A16)</f>
        <v>4</v>
      </c>
      <c r="D16" s="5" t="s">
        <v>24</v>
      </c>
      <c r="E16" s="5" t="n">
        <f aca="false">COUNTIF('VLM Projects'!$J$2:$J$101,D16)</f>
        <v>16</v>
      </c>
    </row>
    <row r="17" customFormat="false" ht="15" hidden="false" customHeight="false" outlineLevel="0" collapsed="false">
      <c r="A17" s="5" t="s">
        <v>25</v>
      </c>
      <c r="B17" s="5" t="n">
        <f aca="false">COUNTIF('VLM Projects'!$C$2:$C$101,A17)</f>
        <v>4</v>
      </c>
      <c r="D17" s="5" t="s">
        <v>26</v>
      </c>
      <c r="E17" s="5" t="n">
        <f aca="false">COUNTIF('VLM Projects'!$J$2:$J$101,D17)</f>
        <v>8</v>
      </c>
    </row>
    <row r="18" customFormat="false" ht="15" hidden="false" customHeight="false" outlineLevel="0" collapsed="false">
      <c r="A18" s="5" t="s">
        <v>27</v>
      </c>
      <c r="B18" s="5" t="n">
        <f aca="false">COUNTIF('VLM Projects'!$C$2:$C$101,A18)</f>
        <v>4</v>
      </c>
      <c r="D18" s="5" t="s">
        <v>28</v>
      </c>
      <c r="E18" s="5" t="n">
        <f aca="false">COUNTIF('VLM Projects'!$J$2:$J$101,D18)</f>
        <v>52</v>
      </c>
    </row>
    <row r="19" customFormat="false" ht="15" hidden="false" customHeight="false" outlineLevel="0" collapsed="false">
      <c r="A19" s="5" t="s">
        <v>29</v>
      </c>
      <c r="B19" s="5" t="n">
        <f aca="false">COUNTIF('VLM Projects'!$C$2:$C$101,A19)</f>
        <v>4</v>
      </c>
      <c r="D19" s="5" t="s">
        <v>30</v>
      </c>
      <c r="E19" s="5" t="n">
        <f aca="false">COUNTIF('VLM Projects'!$J$2:$J$101,D19)</f>
        <v>20</v>
      </c>
    </row>
    <row r="20" customFormat="false" ht="15" hidden="false" customHeight="false" outlineLevel="0" collapsed="false">
      <c r="A20" s="5" t="s">
        <v>31</v>
      </c>
      <c r="B20" s="5" t="n">
        <f aca="false">COUNTIF('VLM Projects'!$C$2:$C$101,A20)</f>
        <v>4</v>
      </c>
    </row>
    <row r="21" customFormat="false" ht="15" hidden="false" customHeight="false" outlineLevel="0" collapsed="false">
      <c r="A21" s="5" t="s">
        <v>32</v>
      </c>
      <c r="B21" s="5" t="n">
        <f aca="false">COUNTIF('VLM Projects'!$C$2:$C$101,A21)</f>
        <v>4</v>
      </c>
      <c r="D21" s="6" t="s">
        <v>16</v>
      </c>
      <c r="E21" s="6" t="n">
        <f aca="false">SUM(E15:E19)</f>
        <v>100</v>
      </c>
    </row>
    <row r="22" customFormat="false" ht="15" hidden="false" customHeight="false" outlineLevel="0" collapsed="false">
      <c r="A22" s="5" t="s">
        <v>33</v>
      </c>
      <c r="B22" s="5" t="n">
        <f aca="false">COUNTIF('VLM Projects'!$C$2:$C$101,A22)</f>
        <v>4</v>
      </c>
    </row>
    <row r="23" customFormat="false" ht="15" hidden="false" customHeight="false" outlineLevel="0" collapsed="false">
      <c r="A23" s="5" t="s">
        <v>34</v>
      </c>
      <c r="B23" s="5" t="n">
        <f aca="false">COUNTIF('VLM Projects'!$C$2:$C$101,A23)</f>
        <v>4</v>
      </c>
      <c r="D23" s="3" t="s">
        <v>35</v>
      </c>
    </row>
    <row r="24" customFormat="false" ht="15" hidden="false" customHeight="false" outlineLevel="0" collapsed="false">
      <c r="A24" s="5" t="s">
        <v>36</v>
      </c>
      <c r="B24" s="5" t="n">
        <f aca="false">COUNTIF('VLM Projects'!$C$2:$C$101,A24)</f>
        <v>4</v>
      </c>
      <c r="D24" s="4" t="s">
        <v>4</v>
      </c>
      <c r="E24" s="4" t="s">
        <v>5</v>
      </c>
    </row>
    <row r="25" customFormat="false" ht="15" hidden="false" customHeight="false" outlineLevel="0" collapsed="false">
      <c r="A25" s="5" t="s">
        <v>37</v>
      </c>
      <c r="B25" s="5" t="n">
        <f aca="false">COUNTIF('VLM Projects'!$C$2:$C$101,A25)</f>
        <v>4</v>
      </c>
      <c r="D25" s="5" t="n">
        <v>1</v>
      </c>
      <c r="E25" s="5" t="n">
        <f aca="false">COUNTIF('VLM Projects'!$AS$2:$AS$101,D25)</f>
        <v>0</v>
      </c>
    </row>
    <row r="26" customFormat="false" ht="15" hidden="false" customHeight="false" outlineLevel="0" collapsed="false">
      <c r="A26" s="5" t="s">
        <v>38</v>
      </c>
      <c r="B26" s="5" t="n">
        <f aca="false">COUNTIF('VLM Projects'!$C$2:$C$101,A26)</f>
        <v>4</v>
      </c>
      <c r="D26" s="5" t="n">
        <v>2</v>
      </c>
      <c r="E26" s="5" t="n">
        <f aca="false">COUNTIF('VLM Projects'!$AS$2:$AS$101,D26)</f>
        <v>0</v>
      </c>
    </row>
    <row r="27" customFormat="false" ht="15" hidden="false" customHeight="false" outlineLevel="0" collapsed="false">
      <c r="A27" s="5" t="s">
        <v>39</v>
      </c>
      <c r="B27" s="5" t="n">
        <f aca="false">COUNTIF('VLM Projects'!$C$2:$C$101,A27)</f>
        <v>4</v>
      </c>
      <c r="D27" s="5" t="n">
        <v>3</v>
      </c>
      <c r="E27" s="5" t="n">
        <f aca="false">COUNTIF('VLM Projects'!$AS$2:$AS$101,D27)</f>
        <v>0</v>
      </c>
    </row>
    <row r="28" customFormat="false" ht="15" hidden="false" customHeight="false" outlineLevel="0" collapsed="false">
      <c r="A28" s="5" t="s">
        <v>40</v>
      </c>
      <c r="B28" s="5" t="n">
        <f aca="false">COUNTIF('VLM Projects'!$C$2:$C$101,A28)</f>
        <v>4</v>
      </c>
      <c r="D28" s="5" t="n">
        <v>4</v>
      </c>
      <c r="E28" s="5" t="n">
        <f aca="false">COUNTIF('VLM Projects'!$AS$2:$AS$101,D28)</f>
        <v>8</v>
      </c>
    </row>
    <row r="29" customFormat="false" ht="15" hidden="false" customHeight="false" outlineLevel="0" collapsed="false">
      <c r="A29" s="5" t="s">
        <v>41</v>
      </c>
      <c r="B29" s="5" t="n">
        <f aca="false">COUNTIF('VLM Projects'!$C$2:$C$101,A29)</f>
        <v>4</v>
      </c>
      <c r="D29" s="5" t="n">
        <v>5</v>
      </c>
      <c r="E29" s="5" t="n">
        <f aca="false">COUNTIF('VLM Projects'!$AS$2:$AS$101,D29)</f>
        <v>11</v>
      </c>
    </row>
    <row r="30" customFormat="false" ht="15" hidden="false" customHeight="false" outlineLevel="0" collapsed="false">
      <c r="A30" s="5" t="s">
        <v>42</v>
      </c>
      <c r="B30" s="5" t="n">
        <f aca="false">COUNTIF('VLM Projects'!$C$2:$C$101,A30)</f>
        <v>4</v>
      </c>
      <c r="D30" s="5" t="n">
        <v>6</v>
      </c>
      <c r="E30" s="5" t="n">
        <f aca="false">COUNTIF('VLM Projects'!$AS$2:$AS$101,D30)</f>
        <v>14</v>
      </c>
    </row>
    <row r="31" customFormat="false" ht="15" hidden="false" customHeight="false" outlineLevel="0" collapsed="false">
      <c r="D31" s="5" t="n">
        <v>7</v>
      </c>
      <c r="E31" s="5" t="n">
        <f aca="false">COUNTIF('VLM Projects'!$AS$2:$AS$101,D31)</f>
        <v>18</v>
      </c>
    </row>
    <row r="32" customFormat="false" ht="15" hidden="false" customHeight="false" outlineLevel="0" collapsed="false">
      <c r="A32" s="6" t="s">
        <v>16</v>
      </c>
      <c r="B32" s="6" t="n">
        <f aca="false">SUM(B6:B30)</f>
        <v>100</v>
      </c>
      <c r="D32" s="5" t="n">
        <v>8</v>
      </c>
      <c r="E32" s="5" t="n">
        <f aca="false">COUNTIF('VLM Projects'!$AS$2:$AS$101,D32)</f>
        <v>23</v>
      </c>
    </row>
    <row r="33" customFormat="false" ht="15" hidden="false" customHeight="false" outlineLevel="0" collapsed="false">
      <c r="D33" s="5" t="n">
        <v>9</v>
      </c>
      <c r="E33" s="5" t="n">
        <f aca="false">COUNTIF('VLM Projects'!$AS$2:$AS$101,D33)</f>
        <v>18</v>
      </c>
    </row>
    <row r="34" customFormat="false" ht="15" hidden="false" customHeight="false" outlineLevel="0" collapsed="false">
      <c r="D34" s="5" t="n">
        <v>10</v>
      </c>
      <c r="E34" s="5" t="n">
        <f aca="false">COUNTIF('VLM Projects'!$AS$2:$AS$101,D34)</f>
        <v>8</v>
      </c>
    </row>
    <row r="35" customFormat="false" ht="15" hidden="false" customHeight="false" outlineLevel="0" collapsed="false">
      <c r="A35" s="3" t="s">
        <v>43</v>
      </c>
    </row>
    <row r="36" customFormat="false" ht="15" hidden="false" customHeight="false" outlineLevel="0" collapsed="false">
      <c r="A36" s="4" t="s">
        <v>4</v>
      </c>
      <c r="B36" s="4" t="s">
        <v>5</v>
      </c>
      <c r="D36" s="6" t="s">
        <v>44</v>
      </c>
      <c r="E36" s="7" t="n">
        <f aca="false">AVERAGE('VLM Projects'!$AS$2:$AS$101)</f>
        <v>7.23</v>
      </c>
    </row>
    <row r="37" customFormat="false" ht="15" hidden="false" customHeight="false" outlineLevel="0" collapsed="false">
      <c r="A37" s="5" t="n">
        <v>1</v>
      </c>
      <c r="B37" s="5" t="n">
        <f aca="false">COUNTIF('VLM Projects'!$AU$2:$AU$101,A37)</f>
        <v>0</v>
      </c>
    </row>
    <row r="38" customFormat="false" ht="15" hidden="false" customHeight="false" outlineLevel="0" collapsed="false">
      <c r="A38" s="5" t="n">
        <v>2</v>
      </c>
      <c r="B38" s="5" t="n">
        <f aca="false">COUNTIF('VLM Projects'!$AU$2:$AU$101,A38)</f>
        <v>0</v>
      </c>
    </row>
    <row r="39" customFormat="false" ht="15" hidden="false" customHeight="false" outlineLevel="0" collapsed="false">
      <c r="A39" s="5" t="n">
        <v>3</v>
      </c>
      <c r="B39" s="5" t="n">
        <f aca="false">COUNTIF('VLM Projects'!$AU$2:$AU$101,A39)</f>
        <v>8</v>
      </c>
    </row>
    <row r="40" customFormat="false" ht="15" hidden="false" customHeight="false" outlineLevel="0" collapsed="false">
      <c r="A40" s="5" t="n">
        <v>4</v>
      </c>
      <c r="B40" s="5" t="n">
        <f aca="false">COUNTIF('VLM Projects'!$AU$2:$AU$101,A40)</f>
        <v>8</v>
      </c>
    </row>
    <row r="41" customFormat="false" ht="15" hidden="false" customHeight="false" outlineLevel="0" collapsed="false">
      <c r="A41" s="5" t="n">
        <v>5</v>
      </c>
      <c r="B41" s="5" t="n">
        <f aca="false">COUNTIF('VLM Projects'!$AU$2:$AU$101,A41)</f>
        <v>9</v>
      </c>
    </row>
    <row r="42" customFormat="false" ht="15" hidden="false" customHeight="false" outlineLevel="0" collapsed="false">
      <c r="A42" s="5" t="n">
        <v>6</v>
      </c>
      <c r="B42" s="5" t="n">
        <f aca="false">COUNTIF('VLM Projects'!$AU$2:$AU$101,A42)</f>
        <v>14</v>
      </c>
    </row>
    <row r="43" customFormat="false" ht="15" hidden="false" customHeight="false" outlineLevel="0" collapsed="false">
      <c r="A43" s="5" t="n">
        <v>7</v>
      </c>
      <c r="B43" s="5" t="n">
        <f aca="false">COUNTIF('VLM Projects'!$AU$2:$AU$101,A43)</f>
        <v>25</v>
      </c>
    </row>
    <row r="44" customFormat="false" ht="15" hidden="false" customHeight="false" outlineLevel="0" collapsed="false">
      <c r="A44" s="5" t="n">
        <v>8</v>
      </c>
      <c r="B44" s="5" t="n">
        <f aca="false">COUNTIF('VLM Projects'!$AU$2:$AU$101,A44)</f>
        <v>27</v>
      </c>
    </row>
    <row r="45" customFormat="false" ht="15" hidden="false" customHeight="false" outlineLevel="0" collapsed="false">
      <c r="A45" s="5" t="n">
        <v>9</v>
      </c>
      <c r="B45" s="5" t="n">
        <f aca="false">COUNTIF('VLM Projects'!$AU$2:$AU$101,A45)</f>
        <v>9</v>
      </c>
    </row>
    <row r="46" customFormat="false" ht="15" hidden="false" customHeight="false" outlineLevel="0" collapsed="false">
      <c r="A46" s="5" t="n">
        <v>10</v>
      </c>
      <c r="B46" s="5" t="n">
        <f aca="false">COUNTIF('VLM Projects'!$AU$2:$AU$101,A46)</f>
        <v>0</v>
      </c>
    </row>
    <row r="48" customFormat="false" ht="15" hidden="false" customHeight="false" outlineLevel="0" collapsed="false">
      <c r="A48" s="6" t="s">
        <v>44</v>
      </c>
      <c r="B48" s="7" t="n">
        <f aca="false">AVERAGE('VLM Projects'!$AU$2:$AU$101)</f>
        <v>6.57</v>
      </c>
    </row>
    <row r="50" customFormat="false" ht="15" hidden="false" customHeight="false" outlineLevel="0" collapsed="false">
      <c r="A50" s="3" t="s">
        <v>45</v>
      </c>
    </row>
    <row r="51" customFormat="false" ht="15" hidden="false" customHeight="false" outlineLevel="0" collapsed="false">
      <c r="A51" s="4" t="s">
        <v>4</v>
      </c>
      <c r="B51" s="4" t="s">
        <v>5</v>
      </c>
    </row>
    <row r="52" customFormat="false" ht="15" hidden="false" customHeight="false" outlineLevel="0" collapsed="false">
      <c r="A52" s="5" t="n">
        <v>1</v>
      </c>
      <c r="B52" s="5" t="n">
        <f aca="false">COUNTIF('VLM Projects'!$AV$2:$AV$101,A52)</f>
        <v>0</v>
      </c>
    </row>
    <row r="53" customFormat="false" ht="15" hidden="false" customHeight="false" outlineLevel="0" collapsed="false">
      <c r="A53" s="5" t="n">
        <v>2</v>
      </c>
      <c r="B53" s="5" t="n">
        <f aca="false">COUNTIF('VLM Projects'!$AV$2:$AV$101,A53)</f>
        <v>9</v>
      </c>
    </row>
    <row r="54" customFormat="false" ht="15" hidden="false" customHeight="false" outlineLevel="0" collapsed="false">
      <c r="A54" s="5" t="n">
        <v>3</v>
      </c>
      <c r="B54" s="5" t="n">
        <f aca="false">COUNTIF('VLM Projects'!$AV$2:$AV$101,A54)</f>
        <v>6</v>
      </c>
    </row>
    <row r="55" customFormat="false" ht="15" hidden="false" customHeight="false" outlineLevel="0" collapsed="false">
      <c r="A55" s="5" t="n">
        <v>4</v>
      </c>
      <c r="B55" s="5" t="n">
        <f aca="false">COUNTIF('VLM Projects'!$AV$2:$AV$101,A55)</f>
        <v>12</v>
      </c>
    </row>
    <row r="56" customFormat="false" ht="15" hidden="false" customHeight="false" outlineLevel="0" collapsed="false">
      <c r="A56" s="5" t="n">
        <v>5</v>
      </c>
      <c r="B56" s="5" t="n">
        <f aca="false">COUNTIF('VLM Projects'!$AV$2:$AV$101,A56)</f>
        <v>8</v>
      </c>
    </row>
    <row r="57" customFormat="false" ht="15" hidden="false" customHeight="false" outlineLevel="0" collapsed="false">
      <c r="A57" s="5" t="n">
        <v>6</v>
      </c>
      <c r="B57" s="5" t="n">
        <f aca="false">COUNTIF('VLM Projects'!$AV$2:$AV$101,A57)</f>
        <v>15</v>
      </c>
    </row>
    <row r="58" customFormat="false" ht="15" hidden="false" customHeight="false" outlineLevel="0" collapsed="false">
      <c r="A58" s="5" t="n">
        <v>7</v>
      </c>
      <c r="B58" s="5" t="n">
        <f aca="false">COUNTIF('VLM Projects'!$AV$2:$AV$101,A58)</f>
        <v>11</v>
      </c>
    </row>
    <row r="59" customFormat="false" ht="15" hidden="false" customHeight="false" outlineLevel="0" collapsed="false">
      <c r="A59" s="5" t="n">
        <v>8</v>
      </c>
      <c r="B59" s="5" t="n">
        <f aca="false">COUNTIF('VLM Projects'!$AV$2:$AV$101,A59)</f>
        <v>22</v>
      </c>
    </row>
    <row r="60" customFormat="false" ht="15" hidden="false" customHeight="false" outlineLevel="0" collapsed="false">
      <c r="A60" s="5" t="n">
        <v>9</v>
      </c>
      <c r="B60" s="5" t="n">
        <f aca="false">COUNTIF('VLM Projects'!$AV$2:$AV$101,A60)</f>
        <v>10</v>
      </c>
    </row>
    <row r="61" customFormat="false" ht="15" hidden="false" customHeight="false" outlineLevel="0" collapsed="false">
      <c r="A61" s="5" t="n">
        <v>10</v>
      </c>
      <c r="B61" s="5" t="n">
        <f aca="false">COUNTIF('VLM Projects'!$AV$2:$AV$101,A61)</f>
        <v>7</v>
      </c>
    </row>
    <row r="63" customFormat="false" ht="15" hidden="false" customHeight="false" outlineLevel="0" collapsed="false">
      <c r="A63" s="6" t="s">
        <v>44</v>
      </c>
      <c r="B63" s="7" t="n">
        <f aca="false">AVERAGE('VLM Projects'!$AV$2:$AV$101)</f>
        <v>6.27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7" min="4" style="0" width="42"/>
    <col collapsed="false" customWidth="true" hidden="false" outlineLevel="0" max="8" min="8" style="0" width="13"/>
    <col collapsed="false" customWidth="true" hidden="false" outlineLevel="0" max="11" min="9" style="0" width="26"/>
    <col collapsed="false" customWidth="true" hidden="false" outlineLevel="0" max="13" min="12" style="0" width="42"/>
    <col collapsed="false" customWidth="true" hidden="false" outlineLevel="0" max="16" min="14" style="0" width="26"/>
    <col collapsed="false" customWidth="true" hidden="false" outlineLevel="0" max="17" min="17" style="0" width="42"/>
    <col collapsed="false" customWidth="true" hidden="false" outlineLevel="0" max="19" min="18" style="0" width="26"/>
    <col collapsed="false" customWidth="true" hidden="false" outlineLevel="0" max="21" min="20" style="0" width="42"/>
    <col collapsed="false" customWidth="true" hidden="false" outlineLevel="0" max="28" min="22" style="0" width="26"/>
    <col collapsed="false" customWidth="true" hidden="false" outlineLevel="0" max="31" min="29" style="0" width="42"/>
    <col collapsed="false" customWidth="true" hidden="false" outlineLevel="0" max="37" min="32" style="0" width="26"/>
    <col collapsed="false" customWidth="true" hidden="false" outlineLevel="0" max="43" min="38" style="0" width="42"/>
    <col collapsed="false" customWidth="true" hidden="false" outlineLevel="0" max="49" min="44" style="0" width="13"/>
    <col collapsed="false" customWidth="true" hidden="false" outlineLevel="0" max="50" min="50" style="0" width="42"/>
  </cols>
  <sheetData>
    <row r="1" customFormat="false" ht="45.75" hidden="false" customHeight="true" outlineLevel="0" collapsed="false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  <c r="N1" s="8" t="s">
        <v>59</v>
      </c>
      <c r="O1" s="8" t="s">
        <v>60</v>
      </c>
      <c r="P1" s="8" t="s">
        <v>61</v>
      </c>
      <c r="Q1" s="8" t="s">
        <v>62</v>
      </c>
      <c r="R1" s="8" t="s">
        <v>63</v>
      </c>
      <c r="S1" s="8" t="s">
        <v>64</v>
      </c>
      <c r="T1" s="8" t="s">
        <v>65</v>
      </c>
      <c r="U1" s="8" t="s">
        <v>66</v>
      </c>
      <c r="V1" s="8" t="s">
        <v>67</v>
      </c>
      <c r="W1" s="8" t="s">
        <v>68</v>
      </c>
      <c r="X1" s="8" t="s">
        <v>69</v>
      </c>
      <c r="Y1" s="8" t="s">
        <v>70</v>
      </c>
      <c r="Z1" s="8" t="s">
        <v>71</v>
      </c>
      <c r="AA1" s="8" t="s">
        <v>72</v>
      </c>
      <c r="AB1" s="8" t="s">
        <v>73</v>
      </c>
      <c r="AC1" s="8" t="s">
        <v>74</v>
      </c>
      <c r="AD1" s="8" t="s">
        <v>75</v>
      </c>
      <c r="AE1" s="8" t="s">
        <v>76</v>
      </c>
      <c r="AF1" s="8" t="s">
        <v>77</v>
      </c>
      <c r="AG1" s="8" t="s">
        <v>78</v>
      </c>
      <c r="AH1" s="8" t="s">
        <v>79</v>
      </c>
      <c r="AI1" s="8" t="s">
        <v>80</v>
      </c>
      <c r="AJ1" s="8" t="s">
        <v>81</v>
      </c>
      <c r="AK1" s="8" t="s">
        <v>82</v>
      </c>
      <c r="AL1" s="8" t="s">
        <v>83</v>
      </c>
      <c r="AM1" s="8" t="s">
        <v>84</v>
      </c>
      <c r="AN1" s="8" t="s">
        <v>85</v>
      </c>
      <c r="AO1" s="8" t="s">
        <v>86</v>
      </c>
      <c r="AP1" s="8" t="s">
        <v>87</v>
      </c>
      <c r="AQ1" s="8" t="s">
        <v>88</v>
      </c>
      <c r="AR1" s="8" t="s">
        <v>89</v>
      </c>
      <c r="AS1" s="8" t="s">
        <v>90</v>
      </c>
      <c r="AT1" s="8" t="s">
        <v>91</v>
      </c>
      <c r="AU1" s="8" t="s">
        <v>92</v>
      </c>
      <c r="AV1" s="8" t="s">
        <v>93</v>
      </c>
      <c r="AW1" s="8" t="s">
        <v>94</v>
      </c>
      <c r="AX1" s="8" t="s">
        <v>95</v>
      </c>
    </row>
    <row r="2" customFormat="false" ht="60" hidden="false" customHeight="true" outlineLevel="0" collapsed="false">
      <c r="A2" s="9" t="s">
        <v>96</v>
      </c>
      <c r="B2" s="9" t="s">
        <v>97</v>
      </c>
      <c r="C2" s="9" t="s">
        <v>25</v>
      </c>
      <c r="D2" s="9" t="s">
        <v>98</v>
      </c>
      <c r="E2" s="9" t="s">
        <v>99</v>
      </c>
      <c r="F2" s="9" t="s">
        <v>100</v>
      </c>
      <c r="G2" s="9" t="s">
        <v>101</v>
      </c>
      <c r="H2" s="9" t="s">
        <v>7</v>
      </c>
      <c r="I2" s="9" t="s">
        <v>102</v>
      </c>
      <c r="J2" s="9" t="s">
        <v>30</v>
      </c>
      <c r="K2" s="9" t="s">
        <v>103</v>
      </c>
      <c r="L2" s="9" t="s">
        <v>104</v>
      </c>
      <c r="M2" s="9" t="s">
        <v>105</v>
      </c>
      <c r="N2" s="9" t="s">
        <v>106</v>
      </c>
      <c r="O2" s="9" t="s">
        <v>107</v>
      </c>
      <c r="P2" s="9" t="s">
        <v>108</v>
      </c>
      <c r="Q2" s="9" t="s">
        <v>109</v>
      </c>
      <c r="R2" s="9" t="s">
        <v>110</v>
      </c>
      <c r="S2" s="9" t="s">
        <v>111</v>
      </c>
      <c r="T2" s="9" t="s">
        <v>112</v>
      </c>
      <c r="U2" s="9" t="s">
        <v>113</v>
      </c>
      <c r="V2" s="9" t="s">
        <v>114</v>
      </c>
      <c r="W2" s="9" t="s">
        <v>115</v>
      </c>
      <c r="X2" s="9" t="s">
        <v>116</v>
      </c>
      <c r="Y2" s="9" t="s">
        <v>117</v>
      </c>
      <c r="Z2" s="9" t="s">
        <v>118</v>
      </c>
      <c r="AA2" s="9" t="s">
        <v>119</v>
      </c>
      <c r="AB2" s="9" t="s">
        <v>109</v>
      </c>
      <c r="AC2" s="9" t="s">
        <v>120</v>
      </c>
      <c r="AD2" s="9" t="s">
        <v>121</v>
      </c>
      <c r="AE2" s="9" t="s">
        <v>109</v>
      </c>
      <c r="AF2" s="9" t="s">
        <v>122</v>
      </c>
      <c r="AG2" s="9" t="s">
        <v>122</v>
      </c>
      <c r="AH2" s="9" t="s">
        <v>122</v>
      </c>
      <c r="AI2" s="9" t="s">
        <v>109</v>
      </c>
      <c r="AJ2" s="9" t="s">
        <v>109</v>
      </c>
      <c r="AK2" s="9" t="s">
        <v>123</v>
      </c>
      <c r="AL2" s="9" t="s">
        <v>124</v>
      </c>
      <c r="AM2" s="9" t="s">
        <v>125</v>
      </c>
      <c r="AN2" s="9" t="s">
        <v>126</v>
      </c>
      <c r="AO2" s="9" t="s">
        <v>127</v>
      </c>
      <c r="AP2" s="9" t="s">
        <v>128</v>
      </c>
      <c r="AQ2" s="9" t="s">
        <v>129</v>
      </c>
      <c r="AR2" s="10" t="s">
        <v>130</v>
      </c>
      <c r="AS2" s="10" t="n">
        <v>6</v>
      </c>
      <c r="AT2" s="10" t="n">
        <v>6</v>
      </c>
      <c r="AU2" s="10" t="n">
        <v>3</v>
      </c>
      <c r="AV2" s="10" t="n">
        <v>4</v>
      </c>
      <c r="AW2" s="10" t="n">
        <v>1</v>
      </c>
      <c r="AX2" s="9" t="s">
        <v>131</v>
      </c>
    </row>
    <row r="3" customFormat="false" ht="60" hidden="false" customHeight="true" outlineLevel="0" collapsed="false">
      <c r="A3" s="9" t="s">
        <v>132</v>
      </c>
      <c r="B3" s="9" t="s">
        <v>133</v>
      </c>
      <c r="C3" s="9" t="s">
        <v>25</v>
      </c>
      <c r="D3" s="9" t="s">
        <v>134</v>
      </c>
      <c r="E3" s="9" t="s">
        <v>135</v>
      </c>
      <c r="F3" s="9" t="s">
        <v>136</v>
      </c>
      <c r="G3" s="9" t="s">
        <v>137</v>
      </c>
      <c r="H3" s="9" t="s">
        <v>7</v>
      </c>
      <c r="I3" s="9" t="s">
        <v>102</v>
      </c>
      <c r="J3" s="9" t="s">
        <v>28</v>
      </c>
      <c r="K3" s="9" t="s">
        <v>138</v>
      </c>
      <c r="L3" s="9" t="s">
        <v>139</v>
      </c>
      <c r="M3" s="9" t="s">
        <v>140</v>
      </c>
      <c r="N3" s="9" t="s">
        <v>141</v>
      </c>
      <c r="O3" s="9" t="s">
        <v>142</v>
      </c>
      <c r="P3" s="9" t="s">
        <v>143</v>
      </c>
      <c r="Q3" s="9" t="s">
        <v>109</v>
      </c>
      <c r="R3" s="9" t="s">
        <v>144</v>
      </c>
      <c r="S3" s="9" t="s">
        <v>111</v>
      </c>
      <c r="T3" s="9" t="s">
        <v>112</v>
      </c>
      <c r="U3" s="9" t="s">
        <v>113</v>
      </c>
      <c r="V3" s="9" t="s">
        <v>114</v>
      </c>
      <c r="W3" s="9" t="s">
        <v>115</v>
      </c>
      <c r="X3" s="9" t="s">
        <v>116</v>
      </c>
      <c r="Y3" s="9" t="s">
        <v>117</v>
      </c>
      <c r="Z3" s="9" t="s">
        <v>118</v>
      </c>
      <c r="AA3" s="9" t="s">
        <v>145</v>
      </c>
      <c r="AB3" s="9" t="s">
        <v>122</v>
      </c>
      <c r="AC3" s="9" t="s">
        <v>146</v>
      </c>
      <c r="AD3" s="9" t="s">
        <v>121</v>
      </c>
      <c r="AE3" s="9" t="s">
        <v>122</v>
      </c>
      <c r="AF3" s="9" t="s">
        <v>122</v>
      </c>
      <c r="AG3" s="9" t="s">
        <v>109</v>
      </c>
      <c r="AH3" s="9" t="s">
        <v>122</v>
      </c>
      <c r="AI3" s="9" t="s">
        <v>109</v>
      </c>
      <c r="AJ3" s="9" t="s">
        <v>109</v>
      </c>
      <c r="AK3" s="9" t="s">
        <v>147</v>
      </c>
      <c r="AL3" s="9" t="s">
        <v>148</v>
      </c>
      <c r="AM3" s="9" t="s">
        <v>149</v>
      </c>
      <c r="AN3" s="9" t="s">
        <v>150</v>
      </c>
      <c r="AO3" s="9" t="s">
        <v>127</v>
      </c>
      <c r="AP3" s="9" t="s">
        <v>151</v>
      </c>
      <c r="AQ3" s="9" t="s">
        <v>152</v>
      </c>
      <c r="AR3" s="10" t="s">
        <v>130</v>
      </c>
      <c r="AS3" s="10" t="n">
        <v>4</v>
      </c>
      <c r="AT3" s="10" t="n">
        <v>6</v>
      </c>
      <c r="AU3" s="10" t="n">
        <v>3</v>
      </c>
      <c r="AV3" s="10" t="n">
        <v>3</v>
      </c>
      <c r="AW3" s="10" t="n">
        <v>2</v>
      </c>
      <c r="AX3" s="9" t="s">
        <v>153</v>
      </c>
    </row>
    <row r="4" customFormat="false" ht="60" hidden="false" customHeight="true" outlineLevel="0" collapsed="false">
      <c r="A4" s="9" t="s">
        <v>154</v>
      </c>
      <c r="B4" s="9" t="s">
        <v>155</v>
      </c>
      <c r="C4" s="9" t="s">
        <v>25</v>
      </c>
      <c r="D4" s="9" t="s">
        <v>156</v>
      </c>
      <c r="E4" s="9" t="s">
        <v>157</v>
      </c>
      <c r="F4" s="9" t="s">
        <v>158</v>
      </c>
      <c r="G4" s="9" t="s">
        <v>159</v>
      </c>
      <c r="H4" s="9" t="s">
        <v>9</v>
      </c>
      <c r="I4" s="9" t="s">
        <v>160</v>
      </c>
      <c r="J4" s="9" t="s">
        <v>26</v>
      </c>
      <c r="K4" s="9" t="s">
        <v>161</v>
      </c>
      <c r="L4" s="9" t="s">
        <v>162</v>
      </c>
      <c r="M4" s="9" t="s">
        <v>163</v>
      </c>
      <c r="N4" s="9" t="s">
        <v>164</v>
      </c>
      <c r="O4" s="9" t="s">
        <v>165</v>
      </c>
      <c r="P4" s="9" t="s">
        <v>166</v>
      </c>
      <c r="Q4" s="9" t="s">
        <v>122</v>
      </c>
      <c r="R4" s="9" t="s">
        <v>167</v>
      </c>
      <c r="S4" s="9" t="s">
        <v>168</v>
      </c>
      <c r="T4" s="9" t="s">
        <v>169</v>
      </c>
      <c r="U4" s="9" t="s">
        <v>113</v>
      </c>
      <c r="V4" s="9" t="s">
        <v>114</v>
      </c>
      <c r="W4" s="9" t="s">
        <v>115</v>
      </c>
      <c r="X4" s="9" t="s">
        <v>116</v>
      </c>
      <c r="Y4" s="9" t="s">
        <v>117</v>
      </c>
      <c r="Z4" s="9" t="s">
        <v>118</v>
      </c>
      <c r="AA4" s="9" t="s">
        <v>119</v>
      </c>
      <c r="AB4" s="9" t="s">
        <v>109</v>
      </c>
      <c r="AC4" s="9" t="s">
        <v>170</v>
      </c>
      <c r="AD4" s="9" t="s">
        <v>121</v>
      </c>
      <c r="AE4" s="9" t="s">
        <v>122</v>
      </c>
      <c r="AF4" s="9" t="s">
        <v>122</v>
      </c>
      <c r="AG4" s="9" t="s">
        <v>122</v>
      </c>
      <c r="AH4" s="9" t="s">
        <v>122</v>
      </c>
      <c r="AI4" s="9" t="s">
        <v>109</v>
      </c>
      <c r="AJ4" s="9" t="s">
        <v>109</v>
      </c>
      <c r="AK4" s="9" t="s">
        <v>171</v>
      </c>
      <c r="AL4" s="9" t="s">
        <v>172</v>
      </c>
      <c r="AM4" s="9" t="s">
        <v>173</v>
      </c>
      <c r="AN4" s="9" t="s">
        <v>174</v>
      </c>
      <c r="AO4" s="9" t="s">
        <v>127</v>
      </c>
      <c r="AP4" s="9" t="s">
        <v>175</v>
      </c>
      <c r="AQ4" s="9" t="s">
        <v>176</v>
      </c>
      <c r="AR4" s="10" t="s">
        <v>177</v>
      </c>
      <c r="AS4" s="10" t="n">
        <v>6</v>
      </c>
      <c r="AT4" s="10" t="n">
        <v>5</v>
      </c>
      <c r="AU4" s="10" t="n">
        <v>5</v>
      </c>
      <c r="AV4" s="10" t="n">
        <v>4</v>
      </c>
      <c r="AW4" s="10" t="n">
        <v>4</v>
      </c>
      <c r="AX4" s="9" t="s">
        <v>178</v>
      </c>
    </row>
    <row r="5" customFormat="false" ht="60" hidden="false" customHeight="true" outlineLevel="0" collapsed="false">
      <c r="A5" s="9" t="s">
        <v>179</v>
      </c>
      <c r="B5" s="9" t="s">
        <v>180</v>
      </c>
      <c r="C5" s="9" t="s">
        <v>25</v>
      </c>
      <c r="D5" s="9" t="s">
        <v>181</v>
      </c>
      <c r="E5" s="9" t="s">
        <v>182</v>
      </c>
      <c r="F5" s="9" t="s">
        <v>183</v>
      </c>
      <c r="G5" s="9" t="s">
        <v>184</v>
      </c>
      <c r="H5" s="9" t="s">
        <v>9</v>
      </c>
      <c r="I5" s="9" t="s">
        <v>160</v>
      </c>
      <c r="J5" s="9" t="s">
        <v>30</v>
      </c>
      <c r="K5" s="9" t="s">
        <v>103</v>
      </c>
      <c r="L5" s="9" t="s">
        <v>104</v>
      </c>
      <c r="M5" s="9" t="s">
        <v>185</v>
      </c>
      <c r="N5" s="9" t="s">
        <v>186</v>
      </c>
      <c r="O5" s="9" t="s">
        <v>187</v>
      </c>
      <c r="P5" s="9" t="s">
        <v>188</v>
      </c>
      <c r="Q5" s="9" t="s">
        <v>122</v>
      </c>
      <c r="R5" s="9" t="s">
        <v>110</v>
      </c>
      <c r="S5" s="9" t="s">
        <v>168</v>
      </c>
      <c r="T5" s="9" t="s">
        <v>169</v>
      </c>
      <c r="U5" s="9" t="s">
        <v>113</v>
      </c>
      <c r="V5" s="9" t="s">
        <v>114</v>
      </c>
      <c r="W5" s="9" t="s">
        <v>115</v>
      </c>
      <c r="X5" s="9" t="s">
        <v>116</v>
      </c>
      <c r="Y5" s="9" t="s">
        <v>117</v>
      </c>
      <c r="Z5" s="9" t="s">
        <v>118</v>
      </c>
      <c r="AA5" s="9" t="s">
        <v>119</v>
      </c>
      <c r="AB5" s="9" t="s">
        <v>109</v>
      </c>
      <c r="AC5" s="9" t="s">
        <v>120</v>
      </c>
      <c r="AD5" s="9" t="s">
        <v>121</v>
      </c>
      <c r="AE5" s="9" t="s">
        <v>109</v>
      </c>
      <c r="AF5" s="9" t="s">
        <v>122</v>
      </c>
      <c r="AG5" s="9" t="s">
        <v>122</v>
      </c>
      <c r="AH5" s="9" t="s">
        <v>122</v>
      </c>
      <c r="AI5" s="9" t="s">
        <v>109</v>
      </c>
      <c r="AJ5" s="9" t="s">
        <v>109</v>
      </c>
      <c r="AK5" s="9" t="s">
        <v>189</v>
      </c>
      <c r="AL5" s="9" t="s">
        <v>190</v>
      </c>
      <c r="AM5" s="9" t="s">
        <v>191</v>
      </c>
      <c r="AN5" s="9" t="s">
        <v>192</v>
      </c>
      <c r="AO5" s="9" t="s">
        <v>127</v>
      </c>
      <c r="AP5" s="9" t="s">
        <v>193</v>
      </c>
      <c r="AQ5" s="9" t="s">
        <v>194</v>
      </c>
      <c r="AR5" s="10" t="s">
        <v>177</v>
      </c>
      <c r="AS5" s="10" t="n">
        <v>5</v>
      </c>
      <c r="AT5" s="10" t="n">
        <v>5</v>
      </c>
      <c r="AU5" s="10" t="n">
        <v>6</v>
      </c>
      <c r="AV5" s="10" t="n">
        <v>4</v>
      </c>
      <c r="AW5" s="10" t="n">
        <v>3</v>
      </c>
      <c r="AX5" s="9" t="s">
        <v>195</v>
      </c>
    </row>
    <row r="6" customFormat="false" ht="60" hidden="false" customHeight="true" outlineLevel="0" collapsed="false">
      <c r="A6" s="9" t="s">
        <v>196</v>
      </c>
      <c r="B6" s="9" t="s">
        <v>197</v>
      </c>
      <c r="C6" s="9" t="s">
        <v>12</v>
      </c>
      <c r="D6" s="9" t="s">
        <v>198</v>
      </c>
      <c r="E6" s="9" t="s">
        <v>199</v>
      </c>
      <c r="F6" s="9" t="s">
        <v>200</v>
      </c>
      <c r="G6" s="9" t="s">
        <v>201</v>
      </c>
      <c r="H6" s="9" t="s">
        <v>11</v>
      </c>
      <c r="I6" s="9" t="s">
        <v>202</v>
      </c>
      <c r="J6" s="9" t="s">
        <v>30</v>
      </c>
      <c r="K6" s="9" t="s">
        <v>103</v>
      </c>
      <c r="L6" s="9" t="s">
        <v>203</v>
      </c>
      <c r="M6" s="9" t="s">
        <v>204</v>
      </c>
      <c r="N6" s="9" t="s">
        <v>205</v>
      </c>
      <c r="O6" s="9" t="s">
        <v>206</v>
      </c>
      <c r="P6" s="9" t="s">
        <v>207</v>
      </c>
      <c r="Q6" s="9" t="s">
        <v>122</v>
      </c>
      <c r="R6" s="9" t="s">
        <v>208</v>
      </c>
      <c r="S6" s="9" t="s">
        <v>209</v>
      </c>
      <c r="T6" s="9" t="s">
        <v>210</v>
      </c>
      <c r="U6" s="9" t="s">
        <v>113</v>
      </c>
      <c r="V6" s="9" t="s">
        <v>114</v>
      </c>
      <c r="W6" s="9" t="s">
        <v>211</v>
      </c>
      <c r="X6" s="9" t="s">
        <v>116</v>
      </c>
      <c r="Y6" s="9" t="s">
        <v>212</v>
      </c>
      <c r="Z6" s="9" t="s">
        <v>213</v>
      </c>
      <c r="AA6" s="9" t="s">
        <v>119</v>
      </c>
      <c r="AB6" s="9" t="s">
        <v>109</v>
      </c>
      <c r="AC6" s="9" t="s">
        <v>214</v>
      </c>
      <c r="AD6" s="9" t="s">
        <v>215</v>
      </c>
      <c r="AE6" s="9" t="s">
        <v>109</v>
      </c>
      <c r="AF6" s="9" t="s">
        <v>122</v>
      </c>
      <c r="AG6" s="9" t="s">
        <v>122</v>
      </c>
      <c r="AH6" s="9" t="s">
        <v>122</v>
      </c>
      <c r="AI6" s="9" t="s">
        <v>109</v>
      </c>
      <c r="AJ6" s="9" t="s">
        <v>109</v>
      </c>
      <c r="AK6" s="9" t="s">
        <v>216</v>
      </c>
      <c r="AL6" s="9" t="s">
        <v>217</v>
      </c>
      <c r="AM6" s="9" t="s">
        <v>218</v>
      </c>
      <c r="AN6" s="9" t="s">
        <v>219</v>
      </c>
      <c r="AO6" s="9" t="s">
        <v>220</v>
      </c>
      <c r="AP6" s="9" t="s">
        <v>221</v>
      </c>
      <c r="AQ6" s="9" t="s">
        <v>222</v>
      </c>
      <c r="AR6" s="10" t="s">
        <v>223</v>
      </c>
      <c r="AS6" s="10" t="n">
        <v>7</v>
      </c>
      <c r="AT6" s="10" t="n">
        <v>9</v>
      </c>
      <c r="AU6" s="10" t="n">
        <v>8</v>
      </c>
      <c r="AV6" s="10" t="n">
        <v>6</v>
      </c>
      <c r="AW6" s="10" t="n">
        <v>7</v>
      </c>
      <c r="AX6" s="9" t="s">
        <v>224</v>
      </c>
    </row>
    <row r="7" customFormat="false" ht="60" hidden="false" customHeight="true" outlineLevel="0" collapsed="false">
      <c r="A7" s="9" t="s">
        <v>225</v>
      </c>
      <c r="B7" s="9" t="s">
        <v>226</v>
      </c>
      <c r="C7" s="9" t="s">
        <v>12</v>
      </c>
      <c r="D7" s="9" t="s">
        <v>227</v>
      </c>
      <c r="E7" s="9" t="s">
        <v>228</v>
      </c>
      <c r="F7" s="9" t="s">
        <v>229</v>
      </c>
      <c r="G7" s="9" t="s">
        <v>230</v>
      </c>
      <c r="H7" s="9" t="s">
        <v>11</v>
      </c>
      <c r="I7" s="9" t="s">
        <v>202</v>
      </c>
      <c r="J7" s="9" t="s">
        <v>30</v>
      </c>
      <c r="K7" s="9" t="s">
        <v>103</v>
      </c>
      <c r="L7" s="9" t="s">
        <v>203</v>
      </c>
      <c r="M7" s="9" t="s">
        <v>231</v>
      </c>
      <c r="N7" s="9" t="s">
        <v>232</v>
      </c>
      <c r="O7" s="9" t="s">
        <v>233</v>
      </c>
      <c r="P7" s="9" t="s">
        <v>234</v>
      </c>
      <c r="Q7" s="9" t="s">
        <v>235</v>
      </c>
      <c r="R7" s="9" t="s">
        <v>208</v>
      </c>
      <c r="S7" s="9" t="s">
        <v>209</v>
      </c>
      <c r="T7" s="9" t="s">
        <v>210</v>
      </c>
      <c r="U7" s="9" t="s">
        <v>113</v>
      </c>
      <c r="V7" s="9" t="s">
        <v>114</v>
      </c>
      <c r="W7" s="9" t="s">
        <v>211</v>
      </c>
      <c r="X7" s="9" t="s">
        <v>116</v>
      </c>
      <c r="Y7" s="9" t="s">
        <v>212</v>
      </c>
      <c r="Z7" s="9" t="s">
        <v>213</v>
      </c>
      <c r="AA7" s="9" t="s">
        <v>119</v>
      </c>
      <c r="AB7" s="9" t="s">
        <v>109</v>
      </c>
      <c r="AC7" s="9" t="s">
        <v>214</v>
      </c>
      <c r="AD7" s="9" t="s">
        <v>215</v>
      </c>
      <c r="AE7" s="9" t="s">
        <v>109</v>
      </c>
      <c r="AF7" s="9" t="s">
        <v>122</v>
      </c>
      <c r="AG7" s="9" t="s">
        <v>122</v>
      </c>
      <c r="AH7" s="9" t="s">
        <v>122</v>
      </c>
      <c r="AI7" s="9" t="s">
        <v>109</v>
      </c>
      <c r="AJ7" s="9" t="s">
        <v>109</v>
      </c>
      <c r="AK7" s="9" t="s">
        <v>236</v>
      </c>
      <c r="AL7" s="9" t="s">
        <v>237</v>
      </c>
      <c r="AM7" s="9" t="s">
        <v>238</v>
      </c>
      <c r="AN7" s="9" t="s">
        <v>239</v>
      </c>
      <c r="AO7" s="9" t="s">
        <v>220</v>
      </c>
      <c r="AP7" s="9" t="s">
        <v>240</v>
      </c>
      <c r="AQ7" s="9" t="s">
        <v>241</v>
      </c>
      <c r="AR7" s="10" t="s">
        <v>223</v>
      </c>
      <c r="AS7" s="10" t="n">
        <v>8</v>
      </c>
      <c r="AT7" s="10" t="n">
        <v>8</v>
      </c>
      <c r="AU7" s="10" t="n">
        <v>8</v>
      </c>
      <c r="AV7" s="10" t="n">
        <v>8</v>
      </c>
      <c r="AW7" s="10" t="n">
        <v>7</v>
      </c>
      <c r="AX7" s="9" t="s">
        <v>242</v>
      </c>
    </row>
    <row r="8" customFormat="false" ht="60" hidden="false" customHeight="true" outlineLevel="0" collapsed="false">
      <c r="A8" s="9" t="s">
        <v>243</v>
      </c>
      <c r="B8" s="9" t="s">
        <v>244</v>
      </c>
      <c r="C8" s="9" t="s">
        <v>12</v>
      </c>
      <c r="D8" s="9" t="s">
        <v>245</v>
      </c>
      <c r="E8" s="9" t="s">
        <v>246</v>
      </c>
      <c r="F8" s="9" t="s">
        <v>247</v>
      </c>
      <c r="G8" s="9" t="s">
        <v>248</v>
      </c>
      <c r="H8" s="9" t="s">
        <v>11</v>
      </c>
      <c r="I8" s="9" t="s">
        <v>202</v>
      </c>
      <c r="J8" s="9" t="s">
        <v>28</v>
      </c>
      <c r="K8" s="9" t="s">
        <v>138</v>
      </c>
      <c r="L8" s="9" t="s">
        <v>139</v>
      </c>
      <c r="M8" s="9" t="s">
        <v>249</v>
      </c>
      <c r="N8" s="9" t="s">
        <v>250</v>
      </c>
      <c r="O8" s="9" t="s">
        <v>251</v>
      </c>
      <c r="P8" s="9" t="s">
        <v>252</v>
      </c>
      <c r="Q8" s="9" t="s">
        <v>122</v>
      </c>
      <c r="R8" s="9" t="s">
        <v>253</v>
      </c>
      <c r="S8" s="9" t="s">
        <v>209</v>
      </c>
      <c r="T8" s="9" t="s">
        <v>210</v>
      </c>
      <c r="U8" s="9" t="s">
        <v>113</v>
      </c>
      <c r="V8" s="9" t="s">
        <v>114</v>
      </c>
      <c r="W8" s="9" t="s">
        <v>211</v>
      </c>
      <c r="X8" s="9" t="s">
        <v>116</v>
      </c>
      <c r="Y8" s="9" t="s">
        <v>212</v>
      </c>
      <c r="Z8" s="9" t="s">
        <v>213</v>
      </c>
      <c r="AA8" s="9" t="s">
        <v>145</v>
      </c>
      <c r="AB8" s="9" t="s">
        <v>122</v>
      </c>
      <c r="AC8" s="9" t="s">
        <v>146</v>
      </c>
      <c r="AD8" s="9" t="s">
        <v>215</v>
      </c>
      <c r="AE8" s="9" t="s">
        <v>122</v>
      </c>
      <c r="AF8" s="9" t="s">
        <v>122</v>
      </c>
      <c r="AG8" s="9" t="s">
        <v>109</v>
      </c>
      <c r="AH8" s="9" t="s">
        <v>122</v>
      </c>
      <c r="AI8" s="9" t="s">
        <v>109</v>
      </c>
      <c r="AJ8" s="9" t="s">
        <v>109</v>
      </c>
      <c r="AK8" s="9" t="s">
        <v>254</v>
      </c>
      <c r="AL8" s="9" t="s">
        <v>255</v>
      </c>
      <c r="AM8" s="9" t="s">
        <v>256</v>
      </c>
      <c r="AN8" s="9" t="s">
        <v>257</v>
      </c>
      <c r="AO8" s="9" t="s">
        <v>220</v>
      </c>
      <c r="AP8" s="9" t="s">
        <v>258</v>
      </c>
      <c r="AQ8" s="9" t="s">
        <v>259</v>
      </c>
      <c r="AR8" s="10" t="s">
        <v>223</v>
      </c>
      <c r="AS8" s="10" t="n">
        <v>7</v>
      </c>
      <c r="AT8" s="10" t="n">
        <v>7</v>
      </c>
      <c r="AU8" s="10" t="n">
        <v>8</v>
      </c>
      <c r="AV8" s="10" t="n">
        <v>7</v>
      </c>
      <c r="AW8" s="10" t="n">
        <v>7</v>
      </c>
      <c r="AX8" s="9" t="s">
        <v>260</v>
      </c>
    </row>
    <row r="9" customFormat="false" ht="60" hidden="false" customHeight="true" outlineLevel="0" collapsed="false">
      <c r="A9" s="9" t="s">
        <v>261</v>
      </c>
      <c r="B9" s="9" t="s">
        <v>262</v>
      </c>
      <c r="C9" s="9" t="s">
        <v>12</v>
      </c>
      <c r="D9" s="9" t="s">
        <v>263</v>
      </c>
      <c r="E9" s="9" t="s">
        <v>264</v>
      </c>
      <c r="F9" s="9" t="s">
        <v>265</v>
      </c>
      <c r="G9" s="9" t="s">
        <v>266</v>
      </c>
      <c r="H9" s="9" t="s">
        <v>13</v>
      </c>
      <c r="I9" s="9" t="s">
        <v>267</v>
      </c>
      <c r="J9" s="9" t="s">
        <v>30</v>
      </c>
      <c r="K9" s="9" t="s">
        <v>103</v>
      </c>
      <c r="L9" s="9" t="s">
        <v>203</v>
      </c>
      <c r="M9" s="9" t="s">
        <v>268</v>
      </c>
      <c r="N9" s="9" t="s">
        <v>269</v>
      </c>
      <c r="O9" s="9" t="s">
        <v>270</v>
      </c>
      <c r="P9" s="9" t="s">
        <v>271</v>
      </c>
      <c r="Q9" s="9" t="s">
        <v>109</v>
      </c>
      <c r="R9" s="9" t="s">
        <v>208</v>
      </c>
      <c r="S9" s="9" t="s">
        <v>272</v>
      </c>
      <c r="T9" s="9" t="s">
        <v>273</v>
      </c>
      <c r="U9" s="9" t="s">
        <v>113</v>
      </c>
      <c r="V9" s="9" t="s">
        <v>274</v>
      </c>
      <c r="W9" s="9" t="s">
        <v>211</v>
      </c>
      <c r="X9" s="9" t="s">
        <v>116</v>
      </c>
      <c r="Y9" s="9" t="s">
        <v>212</v>
      </c>
      <c r="Z9" s="9" t="s">
        <v>213</v>
      </c>
      <c r="AA9" s="9" t="s">
        <v>119</v>
      </c>
      <c r="AB9" s="9" t="s">
        <v>109</v>
      </c>
      <c r="AC9" s="9" t="s">
        <v>214</v>
      </c>
      <c r="AD9" s="9" t="s">
        <v>215</v>
      </c>
      <c r="AE9" s="9" t="s">
        <v>109</v>
      </c>
      <c r="AF9" s="9" t="s">
        <v>122</v>
      </c>
      <c r="AG9" s="9" t="s">
        <v>122</v>
      </c>
      <c r="AH9" s="9" t="s">
        <v>122</v>
      </c>
      <c r="AI9" s="9" t="s">
        <v>109</v>
      </c>
      <c r="AJ9" s="9" t="s">
        <v>109</v>
      </c>
      <c r="AK9" s="9" t="s">
        <v>275</v>
      </c>
      <c r="AL9" s="9" t="s">
        <v>276</v>
      </c>
      <c r="AM9" s="9" t="s">
        <v>277</v>
      </c>
      <c r="AN9" s="9" t="s">
        <v>278</v>
      </c>
      <c r="AO9" s="9" t="s">
        <v>220</v>
      </c>
      <c r="AP9" s="9" t="s">
        <v>279</v>
      </c>
      <c r="AQ9" s="9" t="s">
        <v>280</v>
      </c>
      <c r="AR9" s="10" t="s">
        <v>281</v>
      </c>
      <c r="AS9" s="10" t="n">
        <v>8</v>
      </c>
      <c r="AT9" s="10" t="n">
        <v>8</v>
      </c>
      <c r="AU9" s="10" t="n">
        <v>8</v>
      </c>
      <c r="AV9" s="10" t="n">
        <v>9</v>
      </c>
      <c r="AW9" s="10" t="n">
        <v>9</v>
      </c>
      <c r="AX9" s="9" t="s">
        <v>282</v>
      </c>
    </row>
    <row r="10" customFormat="false" ht="60" hidden="false" customHeight="true" outlineLevel="0" collapsed="false">
      <c r="A10" s="9" t="s">
        <v>283</v>
      </c>
      <c r="B10" s="9" t="s">
        <v>284</v>
      </c>
      <c r="C10" s="9" t="s">
        <v>29</v>
      </c>
      <c r="D10" s="9" t="s">
        <v>285</v>
      </c>
      <c r="E10" s="9" t="s">
        <v>286</v>
      </c>
      <c r="F10" s="9" t="s">
        <v>287</v>
      </c>
      <c r="G10" s="9" t="s">
        <v>288</v>
      </c>
      <c r="H10" s="9" t="s">
        <v>13</v>
      </c>
      <c r="I10" s="9" t="s">
        <v>267</v>
      </c>
      <c r="J10" s="9" t="s">
        <v>28</v>
      </c>
      <c r="K10" s="9" t="s">
        <v>138</v>
      </c>
      <c r="L10" s="9" t="s">
        <v>139</v>
      </c>
      <c r="M10" s="9" t="s">
        <v>289</v>
      </c>
      <c r="N10" s="9" t="s">
        <v>290</v>
      </c>
      <c r="O10" s="9" t="s">
        <v>291</v>
      </c>
      <c r="P10" s="9" t="s">
        <v>292</v>
      </c>
      <c r="Q10" s="9" t="s">
        <v>109</v>
      </c>
      <c r="R10" s="9" t="s">
        <v>253</v>
      </c>
      <c r="S10" s="9" t="s">
        <v>272</v>
      </c>
      <c r="T10" s="9" t="s">
        <v>273</v>
      </c>
      <c r="U10" s="9" t="s">
        <v>113</v>
      </c>
      <c r="V10" s="9" t="s">
        <v>274</v>
      </c>
      <c r="W10" s="9" t="s">
        <v>211</v>
      </c>
      <c r="X10" s="9" t="s">
        <v>116</v>
      </c>
      <c r="Y10" s="9" t="s">
        <v>212</v>
      </c>
      <c r="Z10" s="9" t="s">
        <v>213</v>
      </c>
      <c r="AA10" s="9" t="s">
        <v>145</v>
      </c>
      <c r="AB10" s="9" t="s">
        <v>122</v>
      </c>
      <c r="AC10" s="9" t="s">
        <v>146</v>
      </c>
      <c r="AD10" s="9" t="s">
        <v>215</v>
      </c>
      <c r="AE10" s="9" t="s">
        <v>122</v>
      </c>
      <c r="AF10" s="9" t="s">
        <v>122</v>
      </c>
      <c r="AG10" s="9" t="s">
        <v>109</v>
      </c>
      <c r="AH10" s="9" t="s">
        <v>122</v>
      </c>
      <c r="AI10" s="9" t="s">
        <v>109</v>
      </c>
      <c r="AJ10" s="9" t="s">
        <v>109</v>
      </c>
      <c r="AK10" s="9" t="s">
        <v>293</v>
      </c>
      <c r="AL10" s="9" t="s">
        <v>294</v>
      </c>
      <c r="AM10" s="9" t="s">
        <v>295</v>
      </c>
      <c r="AN10" s="9" t="s">
        <v>296</v>
      </c>
      <c r="AO10" s="9" t="s">
        <v>297</v>
      </c>
      <c r="AP10" s="9" t="s">
        <v>298</v>
      </c>
      <c r="AQ10" s="9" t="s">
        <v>299</v>
      </c>
      <c r="AR10" s="10" t="s">
        <v>281</v>
      </c>
      <c r="AS10" s="10" t="n">
        <v>10</v>
      </c>
      <c r="AT10" s="10" t="n">
        <v>9</v>
      </c>
      <c r="AU10" s="10" t="n">
        <v>9</v>
      </c>
      <c r="AV10" s="10" t="n">
        <v>9</v>
      </c>
      <c r="AW10" s="10" t="n">
        <v>8</v>
      </c>
      <c r="AX10" s="9" t="s">
        <v>300</v>
      </c>
    </row>
    <row r="11" customFormat="false" ht="60" hidden="false" customHeight="true" outlineLevel="0" collapsed="false">
      <c r="A11" s="9" t="s">
        <v>301</v>
      </c>
      <c r="B11" s="9" t="s">
        <v>302</v>
      </c>
      <c r="C11" s="9" t="s">
        <v>29</v>
      </c>
      <c r="D11" s="9" t="s">
        <v>303</v>
      </c>
      <c r="E11" s="9" t="s">
        <v>304</v>
      </c>
      <c r="F11" s="9" t="s">
        <v>305</v>
      </c>
      <c r="G11" s="9" t="s">
        <v>306</v>
      </c>
      <c r="H11" s="9" t="s">
        <v>13</v>
      </c>
      <c r="I11" s="9" t="s">
        <v>267</v>
      </c>
      <c r="J11" s="9" t="s">
        <v>28</v>
      </c>
      <c r="K11" s="9" t="s">
        <v>138</v>
      </c>
      <c r="L11" s="9" t="s">
        <v>139</v>
      </c>
      <c r="M11" s="9" t="s">
        <v>307</v>
      </c>
      <c r="N11" s="9" t="s">
        <v>308</v>
      </c>
      <c r="O11" s="9" t="s">
        <v>309</v>
      </c>
      <c r="P11" s="9" t="s">
        <v>310</v>
      </c>
      <c r="Q11" s="9" t="s">
        <v>109</v>
      </c>
      <c r="R11" s="9" t="s">
        <v>253</v>
      </c>
      <c r="S11" s="9" t="s">
        <v>272</v>
      </c>
      <c r="T11" s="9" t="s">
        <v>273</v>
      </c>
      <c r="U11" s="9" t="s">
        <v>113</v>
      </c>
      <c r="V11" s="9" t="s">
        <v>274</v>
      </c>
      <c r="W11" s="9" t="s">
        <v>211</v>
      </c>
      <c r="X11" s="9" t="s">
        <v>116</v>
      </c>
      <c r="Y11" s="9" t="s">
        <v>212</v>
      </c>
      <c r="Z11" s="9" t="s">
        <v>213</v>
      </c>
      <c r="AA11" s="9" t="s">
        <v>145</v>
      </c>
      <c r="AB11" s="9" t="s">
        <v>122</v>
      </c>
      <c r="AC11" s="9" t="s">
        <v>146</v>
      </c>
      <c r="AD11" s="9" t="s">
        <v>215</v>
      </c>
      <c r="AE11" s="9" t="s">
        <v>122</v>
      </c>
      <c r="AF11" s="9" t="s">
        <v>122</v>
      </c>
      <c r="AG11" s="9" t="s">
        <v>109</v>
      </c>
      <c r="AH11" s="9" t="s">
        <v>122</v>
      </c>
      <c r="AI11" s="9" t="s">
        <v>109</v>
      </c>
      <c r="AJ11" s="9" t="s">
        <v>109</v>
      </c>
      <c r="AK11" s="9" t="s">
        <v>311</v>
      </c>
      <c r="AL11" s="9" t="s">
        <v>312</v>
      </c>
      <c r="AM11" s="9" t="s">
        <v>313</v>
      </c>
      <c r="AN11" s="9" t="s">
        <v>314</v>
      </c>
      <c r="AO11" s="9" t="s">
        <v>297</v>
      </c>
      <c r="AP11" s="9" t="s">
        <v>315</v>
      </c>
      <c r="AQ11" s="9" t="s">
        <v>316</v>
      </c>
      <c r="AR11" s="10" t="s">
        <v>281</v>
      </c>
      <c r="AS11" s="10" t="n">
        <v>9</v>
      </c>
      <c r="AT11" s="10" t="n">
        <v>8</v>
      </c>
      <c r="AU11" s="10" t="n">
        <v>9</v>
      </c>
      <c r="AV11" s="10" t="n">
        <v>9</v>
      </c>
      <c r="AW11" s="10" t="n">
        <v>8</v>
      </c>
      <c r="AX11" s="9" t="s">
        <v>317</v>
      </c>
    </row>
    <row r="12" customFormat="false" ht="60" hidden="false" customHeight="true" outlineLevel="0" collapsed="false">
      <c r="A12" s="9" t="s">
        <v>318</v>
      </c>
      <c r="B12" s="9" t="s">
        <v>319</v>
      </c>
      <c r="C12" s="9" t="s">
        <v>29</v>
      </c>
      <c r="D12" s="9" t="s">
        <v>320</v>
      </c>
      <c r="E12" s="9" t="s">
        <v>321</v>
      </c>
      <c r="F12" s="9" t="s">
        <v>322</v>
      </c>
      <c r="G12" s="9" t="s">
        <v>323</v>
      </c>
      <c r="H12" s="9" t="s">
        <v>7</v>
      </c>
      <c r="I12" s="9" t="s">
        <v>102</v>
      </c>
      <c r="J12" s="9" t="s">
        <v>30</v>
      </c>
      <c r="K12" s="9" t="s">
        <v>103</v>
      </c>
      <c r="L12" s="9" t="s">
        <v>104</v>
      </c>
      <c r="M12" s="9" t="s">
        <v>324</v>
      </c>
      <c r="N12" s="9" t="s">
        <v>325</v>
      </c>
      <c r="O12" s="9" t="s">
        <v>326</v>
      </c>
      <c r="P12" s="9" t="s">
        <v>327</v>
      </c>
      <c r="Q12" s="9" t="s">
        <v>122</v>
      </c>
      <c r="R12" s="9" t="s">
        <v>208</v>
      </c>
      <c r="S12" s="9" t="s">
        <v>111</v>
      </c>
      <c r="T12" s="9" t="s">
        <v>112</v>
      </c>
      <c r="U12" s="9" t="s">
        <v>113</v>
      </c>
      <c r="V12" s="9" t="s">
        <v>114</v>
      </c>
      <c r="W12" s="9" t="s">
        <v>115</v>
      </c>
      <c r="X12" s="9" t="s">
        <v>116</v>
      </c>
      <c r="Y12" s="9" t="s">
        <v>117</v>
      </c>
      <c r="Z12" s="9" t="s">
        <v>118</v>
      </c>
      <c r="AA12" s="9" t="s">
        <v>119</v>
      </c>
      <c r="AB12" s="9" t="s">
        <v>109</v>
      </c>
      <c r="AC12" s="9" t="s">
        <v>120</v>
      </c>
      <c r="AD12" s="9" t="s">
        <v>121</v>
      </c>
      <c r="AE12" s="9" t="s">
        <v>109</v>
      </c>
      <c r="AF12" s="9" t="s">
        <v>122</v>
      </c>
      <c r="AG12" s="9" t="s">
        <v>122</v>
      </c>
      <c r="AH12" s="9" t="s">
        <v>122</v>
      </c>
      <c r="AI12" s="9" t="s">
        <v>109</v>
      </c>
      <c r="AJ12" s="9" t="s">
        <v>109</v>
      </c>
      <c r="AK12" s="9" t="s">
        <v>328</v>
      </c>
      <c r="AL12" s="9" t="s">
        <v>329</v>
      </c>
      <c r="AM12" s="9" t="s">
        <v>330</v>
      </c>
      <c r="AN12" s="9" t="s">
        <v>331</v>
      </c>
      <c r="AO12" s="9" t="s">
        <v>297</v>
      </c>
      <c r="AP12" s="9" t="s">
        <v>332</v>
      </c>
      <c r="AQ12" s="9" t="s">
        <v>333</v>
      </c>
      <c r="AR12" s="10" t="s">
        <v>130</v>
      </c>
      <c r="AS12" s="10" t="n">
        <v>4</v>
      </c>
      <c r="AT12" s="10" t="n">
        <v>5</v>
      </c>
      <c r="AU12" s="10" t="n">
        <v>4</v>
      </c>
      <c r="AV12" s="10" t="n">
        <v>2</v>
      </c>
      <c r="AW12" s="10" t="n">
        <v>2</v>
      </c>
      <c r="AX12" s="9" t="s">
        <v>334</v>
      </c>
    </row>
    <row r="13" customFormat="false" ht="60" hidden="false" customHeight="true" outlineLevel="0" collapsed="false">
      <c r="A13" s="9" t="s">
        <v>335</v>
      </c>
      <c r="B13" s="9" t="s">
        <v>336</v>
      </c>
      <c r="C13" s="9" t="s">
        <v>29</v>
      </c>
      <c r="D13" s="9" t="s">
        <v>337</v>
      </c>
      <c r="E13" s="9" t="s">
        <v>338</v>
      </c>
      <c r="F13" s="9" t="s">
        <v>339</v>
      </c>
      <c r="G13" s="9" t="s">
        <v>340</v>
      </c>
      <c r="H13" s="9" t="s">
        <v>7</v>
      </c>
      <c r="I13" s="9" t="s">
        <v>102</v>
      </c>
      <c r="J13" s="9" t="s">
        <v>28</v>
      </c>
      <c r="K13" s="9" t="s">
        <v>138</v>
      </c>
      <c r="L13" s="9" t="s">
        <v>139</v>
      </c>
      <c r="M13" s="9" t="s">
        <v>341</v>
      </c>
      <c r="N13" s="9" t="s">
        <v>342</v>
      </c>
      <c r="O13" s="9" t="s">
        <v>343</v>
      </c>
      <c r="P13" s="9" t="s">
        <v>344</v>
      </c>
      <c r="Q13" s="9" t="s">
        <v>109</v>
      </c>
      <c r="R13" s="9" t="s">
        <v>253</v>
      </c>
      <c r="S13" s="9" t="s">
        <v>111</v>
      </c>
      <c r="T13" s="9" t="s">
        <v>112</v>
      </c>
      <c r="U13" s="9" t="s">
        <v>113</v>
      </c>
      <c r="V13" s="9" t="s">
        <v>114</v>
      </c>
      <c r="W13" s="9" t="s">
        <v>115</v>
      </c>
      <c r="X13" s="9" t="s">
        <v>116</v>
      </c>
      <c r="Y13" s="9" t="s">
        <v>117</v>
      </c>
      <c r="Z13" s="9" t="s">
        <v>118</v>
      </c>
      <c r="AA13" s="9" t="s">
        <v>145</v>
      </c>
      <c r="AB13" s="9" t="s">
        <v>122</v>
      </c>
      <c r="AC13" s="9" t="s">
        <v>146</v>
      </c>
      <c r="AD13" s="9" t="s">
        <v>121</v>
      </c>
      <c r="AE13" s="9" t="s">
        <v>122</v>
      </c>
      <c r="AF13" s="9" t="s">
        <v>122</v>
      </c>
      <c r="AG13" s="9" t="s">
        <v>109</v>
      </c>
      <c r="AH13" s="9" t="s">
        <v>122</v>
      </c>
      <c r="AI13" s="9" t="s">
        <v>109</v>
      </c>
      <c r="AJ13" s="9" t="s">
        <v>109</v>
      </c>
      <c r="AK13" s="9" t="s">
        <v>345</v>
      </c>
      <c r="AL13" s="9" t="s">
        <v>346</v>
      </c>
      <c r="AM13" s="9" t="s">
        <v>347</v>
      </c>
      <c r="AN13" s="9" t="s">
        <v>348</v>
      </c>
      <c r="AO13" s="9" t="s">
        <v>297</v>
      </c>
      <c r="AP13" s="9" t="s">
        <v>349</v>
      </c>
      <c r="AQ13" s="9" t="s">
        <v>350</v>
      </c>
      <c r="AR13" s="10" t="s">
        <v>130</v>
      </c>
      <c r="AS13" s="10" t="n">
        <v>4</v>
      </c>
      <c r="AT13" s="10" t="n">
        <v>4</v>
      </c>
      <c r="AU13" s="10" t="n">
        <v>4</v>
      </c>
      <c r="AV13" s="10" t="n">
        <v>3</v>
      </c>
      <c r="AW13" s="10" t="n">
        <v>2</v>
      </c>
      <c r="AX13" s="9" t="s">
        <v>351</v>
      </c>
    </row>
    <row r="14" customFormat="false" ht="60" hidden="false" customHeight="true" outlineLevel="0" collapsed="false">
      <c r="A14" s="9" t="s">
        <v>352</v>
      </c>
      <c r="B14" s="9" t="s">
        <v>353</v>
      </c>
      <c r="C14" s="9" t="s">
        <v>38</v>
      </c>
      <c r="D14" s="9" t="s">
        <v>354</v>
      </c>
      <c r="E14" s="9" t="s">
        <v>355</v>
      </c>
      <c r="F14" s="9" t="s">
        <v>356</v>
      </c>
      <c r="G14" s="9" t="s">
        <v>357</v>
      </c>
      <c r="H14" s="9" t="s">
        <v>9</v>
      </c>
      <c r="I14" s="9" t="s">
        <v>160</v>
      </c>
      <c r="J14" s="9" t="s">
        <v>28</v>
      </c>
      <c r="K14" s="9" t="s">
        <v>138</v>
      </c>
      <c r="L14" s="9" t="s">
        <v>139</v>
      </c>
      <c r="M14" s="9" t="s">
        <v>358</v>
      </c>
      <c r="N14" s="9" t="s">
        <v>359</v>
      </c>
      <c r="O14" s="9" t="s">
        <v>360</v>
      </c>
      <c r="P14" s="9" t="s">
        <v>361</v>
      </c>
      <c r="Q14" s="9" t="s">
        <v>109</v>
      </c>
      <c r="R14" s="9" t="s">
        <v>253</v>
      </c>
      <c r="S14" s="9" t="s">
        <v>168</v>
      </c>
      <c r="T14" s="9" t="s">
        <v>169</v>
      </c>
      <c r="U14" s="9" t="s">
        <v>113</v>
      </c>
      <c r="V14" s="9" t="s">
        <v>114</v>
      </c>
      <c r="W14" s="9" t="s">
        <v>115</v>
      </c>
      <c r="X14" s="9" t="s">
        <v>116</v>
      </c>
      <c r="Y14" s="9" t="s">
        <v>117</v>
      </c>
      <c r="Z14" s="9" t="s">
        <v>118</v>
      </c>
      <c r="AA14" s="9" t="s">
        <v>145</v>
      </c>
      <c r="AB14" s="9" t="s">
        <v>122</v>
      </c>
      <c r="AC14" s="9" t="s">
        <v>146</v>
      </c>
      <c r="AD14" s="9" t="s">
        <v>121</v>
      </c>
      <c r="AE14" s="9" t="s">
        <v>122</v>
      </c>
      <c r="AF14" s="9" t="s">
        <v>122</v>
      </c>
      <c r="AG14" s="9" t="s">
        <v>109</v>
      </c>
      <c r="AH14" s="9" t="s">
        <v>122</v>
      </c>
      <c r="AI14" s="9" t="s">
        <v>109</v>
      </c>
      <c r="AJ14" s="9" t="s">
        <v>109</v>
      </c>
      <c r="AK14" s="9" t="s">
        <v>362</v>
      </c>
      <c r="AL14" s="9" t="s">
        <v>363</v>
      </c>
      <c r="AM14" s="9" t="s">
        <v>364</v>
      </c>
      <c r="AN14" s="9" t="s">
        <v>365</v>
      </c>
      <c r="AO14" s="9" t="s">
        <v>366</v>
      </c>
      <c r="AP14" s="9" t="s">
        <v>367</v>
      </c>
      <c r="AQ14" s="9" t="s">
        <v>368</v>
      </c>
      <c r="AR14" s="10" t="s">
        <v>177</v>
      </c>
      <c r="AS14" s="10" t="n">
        <v>7</v>
      </c>
      <c r="AT14" s="10" t="n">
        <v>5</v>
      </c>
      <c r="AU14" s="10" t="n">
        <v>7</v>
      </c>
      <c r="AV14" s="10" t="n">
        <v>5</v>
      </c>
      <c r="AW14" s="10" t="n">
        <v>4</v>
      </c>
      <c r="AX14" s="9" t="s">
        <v>369</v>
      </c>
    </row>
    <row r="15" customFormat="false" ht="60" hidden="false" customHeight="true" outlineLevel="0" collapsed="false">
      <c r="A15" s="9" t="s">
        <v>370</v>
      </c>
      <c r="B15" s="9" t="s">
        <v>371</v>
      </c>
      <c r="C15" s="9" t="s">
        <v>38</v>
      </c>
      <c r="D15" s="9" t="s">
        <v>372</v>
      </c>
      <c r="E15" s="9" t="s">
        <v>373</v>
      </c>
      <c r="F15" s="9" t="s">
        <v>374</v>
      </c>
      <c r="G15" s="9" t="s">
        <v>375</v>
      </c>
      <c r="H15" s="9" t="s">
        <v>9</v>
      </c>
      <c r="I15" s="9" t="s">
        <v>160</v>
      </c>
      <c r="J15" s="9" t="s">
        <v>22</v>
      </c>
      <c r="K15" s="9" t="s">
        <v>376</v>
      </c>
      <c r="L15" s="9" t="s">
        <v>377</v>
      </c>
      <c r="M15" s="9" t="s">
        <v>378</v>
      </c>
      <c r="N15" s="9" t="s">
        <v>379</v>
      </c>
      <c r="O15" s="9" t="s">
        <v>380</v>
      </c>
      <c r="P15" s="9" t="s">
        <v>381</v>
      </c>
      <c r="Q15" s="9" t="s">
        <v>109</v>
      </c>
      <c r="R15" s="9" t="s">
        <v>382</v>
      </c>
      <c r="S15" s="9" t="s">
        <v>168</v>
      </c>
      <c r="T15" s="9" t="s">
        <v>169</v>
      </c>
      <c r="U15" s="9" t="s">
        <v>113</v>
      </c>
      <c r="V15" s="9" t="s">
        <v>114</v>
      </c>
      <c r="W15" s="9" t="s">
        <v>115</v>
      </c>
      <c r="X15" s="9" t="s">
        <v>116</v>
      </c>
      <c r="Y15" s="9" t="s">
        <v>117</v>
      </c>
      <c r="Z15" s="9" t="s">
        <v>118</v>
      </c>
      <c r="AA15" s="9" t="s">
        <v>119</v>
      </c>
      <c r="AB15" s="9" t="s">
        <v>109</v>
      </c>
      <c r="AC15" s="9" t="s">
        <v>383</v>
      </c>
      <c r="AD15" s="9" t="s">
        <v>121</v>
      </c>
      <c r="AE15" s="9" t="s">
        <v>122</v>
      </c>
      <c r="AF15" s="9" t="s">
        <v>122</v>
      </c>
      <c r="AG15" s="9" t="s">
        <v>122</v>
      </c>
      <c r="AH15" s="9" t="s">
        <v>122</v>
      </c>
      <c r="AI15" s="9" t="s">
        <v>122</v>
      </c>
      <c r="AJ15" s="9" t="s">
        <v>109</v>
      </c>
      <c r="AK15" s="9" t="s">
        <v>384</v>
      </c>
      <c r="AL15" s="9" t="s">
        <v>385</v>
      </c>
      <c r="AM15" s="9" t="s">
        <v>386</v>
      </c>
      <c r="AN15" s="9" t="s">
        <v>387</v>
      </c>
      <c r="AO15" s="9" t="s">
        <v>366</v>
      </c>
      <c r="AP15" s="9" t="s">
        <v>367</v>
      </c>
      <c r="AQ15" s="9" t="s">
        <v>388</v>
      </c>
      <c r="AR15" s="10" t="s">
        <v>177</v>
      </c>
      <c r="AS15" s="10" t="n">
        <v>5</v>
      </c>
      <c r="AT15" s="10" t="n">
        <v>7</v>
      </c>
      <c r="AU15" s="10" t="n">
        <v>6</v>
      </c>
      <c r="AV15" s="10" t="n">
        <v>6</v>
      </c>
      <c r="AW15" s="10" t="n">
        <v>3</v>
      </c>
      <c r="AX15" s="9" t="s">
        <v>389</v>
      </c>
    </row>
    <row r="16" customFormat="false" ht="60" hidden="false" customHeight="true" outlineLevel="0" collapsed="false">
      <c r="A16" s="9" t="s">
        <v>390</v>
      </c>
      <c r="B16" s="9" t="s">
        <v>391</v>
      </c>
      <c r="C16" s="9" t="s">
        <v>38</v>
      </c>
      <c r="D16" s="9" t="s">
        <v>392</v>
      </c>
      <c r="E16" s="9" t="s">
        <v>393</v>
      </c>
      <c r="F16" s="9" t="s">
        <v>394</v>
      </c>
      <c r="G16" s="9" t="s">
        <v>395</v>
      </c>
      <c r="H16" s="9" t="s">
        <v>11</v>
      </c>
      <c r="I16" s="9" t="s">
        <v>202</v>
      </c>
      <c r="J16" s="9" t="s">
        <v>26</v>
      </c>
      <c r="K16" s="9" t="s">
        <v>396</v>
      </c>
      <c r="L16" s="9" t="s">
        <v>397</v>
      </c>
      <c r="M16" s="9" t="s">
        <v>398</v>
      </c>
      <c r="N16" s="9" t="s">
        <v>399</v>
      </c>
      <c r="O16" s="9" t="s">
        <v>400</v>
      </c>
      <c r="P16" s="9" t="s">
        <v>401</v>
      </c>
      <c r="Q16" s="9" t="s">
        <v>109</v>
      </c>
      <c r="R16" s="9" t="s">
        <v>402</v>
      </c>
      <c r="S16" s="9" t="s">
        <v>209</v>
      </c>
      <c r="T16" s="9" t="s">
        <v>210</v>
      </c>
      <c r="U16" s="9" t="s">
        <v>113</v>
      </c>
      <c r="V16" s="9" t="s">
        <v>114</v>
      </c>
      <c r="W16" s="9" t="s">
        <v>211</v>
      </c>
      <c r="X16" s="9" t="s">
        <v>116</v>
      </c>
      <c r="Y16" s="9" t="s">
        <v>212</v>
      </c>
      <c r="Z16" s="9" t="s">
        <v>213</v>
      </c>
      <c r="AA16" s="9" t="s">
        <v>119</v>
      </c>
      <c r="AB16" s="9" t="s">
        <v>109</v>
      </c>
      <c r="AC16" s="9" t="s">
        <v>403</v>
      </c>
      <c r="AD16" s="9" t="s">
        <v>215</v>
      </c>
      <c r="AE16" s="9" t="s">
        <v>122</v>
      </c>
      <c r="AF16" s="9" t="s">
        <v>122</v>
      </c>
      <c r="AG16" s="9" t="s">
        <v>122</v>
      </c>
      <c r="AH16" s="9" t="s">
        <v>109</v>
      </c>
      <c r="AI16" s="9" t="s">
        <v>109</v>
      </c>
      <c r="AJ16" s="9" t="s">
        <v>109</v>
      </c>
      <c r="AK16" s="9" t="s">
        <v>404</v>
      </c>
      <c r="AL16" s="9" t="s">
        <v>405</v>
      </c>
      <c r="AM16" s="9" t="s">
        <v>406</v>
      </c>
      <c r="AN16" s="9" t="s">
        <v>407</v>
      </c>
      <c r="AO16" s="9" t="s">
        <v>366</v>
      </c>
      <c r="AP16" s="9" t="s">
        <v>408</v>
      </c>
      <c r="AQ16" s="9" t="s">
        <v>409</v>
      </c>
      <c r="AR16" s="10" t="s">
        <v>223</v>
      </c>
      <c r="AS16" s="10" t="n">
        <v>7</v>
      </c>
      <c r="AT16" s="10" t="n">
        <v>8</v>
      </c>
      <c r="AU16" s="10" t="n">
        <v>6</v>
      </c>
      <c r="AV16" s="10" t="n">
        <v>7</v>
      </c>
      <c r="AW16" s="10" t="n">
        <v>5</v>
      </c>
      <c r="AX16" s="9" t="s">
        <v>410</v>
      </c>
    </row>
    <row r="17" customFormat="false" ht="60" hidden="false" customHeight="true" outlineLevel="0" collapsed="false">
      <c r="A17" s="9" t="s">
        <v>411</v>
      </c>
      <c r="B17" s="9" t="s">
        <v>412</v>
      </c>
      <c r="C17" s="9" t="s">
        <v>38</v>
      </c>
      <c r="D17" s="9" t="s">
        <v>413</v>
      </c>
      <c r="E17" s="9" t="s">
        <v>414</v>
      </c>
      <c r="F17" s="9" t="s">
        <v>415</v>
      </c>
      <c r="G17" s="9" t="s">
        <v>416</v>
      </c>
      <c r="H17" s="9" t="s">
        <v>11</v>
      </c>
      <c r="I17" s="9" t="s">
        <v>202</v>
      </c>
      <c r="J17" s="9" t="s">
        <v>28</v>
      </c>
      <c r="K17" s="9" t="s">
        <v>138</v>
      </c>
      <c r="L17" s="9" t="s">
        <v>139</v>
      </c>
      <c r="M17" s="9" t="s">
        <v>417</v>
      </c>
      <c r="N17" s="9" t="s">
        <v>418</v>
      </c>
      <c r="O17" s="9" t="s">
        <v>419</v>
      </c>
      <c r="P17" s="9" t="s">
        <v>420</v>
      </c>
      <c r="Q17" s="9" t="s">
        <v>122</v>
      </c>
      <c r="R17" s="9" t="s">
        <v>253</v>
      </c>
      <c r="S17" s="9" t="s">
        <v>209</v>
      </c>
      <c r="T17" s="9" t="s">
        <v>210</v>
      </c>
      <c r="U17" s="9" t="s">
        <v>113</v>
      </c>
      <c r="V17" s="9" t="s">
        <v>114</v>
      </c>
      <c r="W17" s="9" t="s">
        <v>211</v>
      </c>
      <c r="X17" s="9" t="s">
        <v>116</v>
      </c>
      <c r="Y17" s="9" t="s">
        <v>212</v>
      </c>
      <c r="Z17" s="9" t="s">
        <v>213</v>
      </c>
      <c r="AA17" s="9" t="s">
        <v>145</v>
      </c>
      <c r="AB17" s="9" t="s">
        <v>122</v>
      </c>
      <c r="AC17" s="9" t="s">
        <v>146</v>
      </c>
      <c r="AD17" s="9" t="s">
        <v>215</v>
      </c>
      <c r="AE17" s="9" t="s">
        <v>122</v>
      </c>
      <c r="AF17" s="9" t="s">
        <v>122</v>
      </c>
      <c r="AG17" s="9" t="s">
        <v>109</v>
      </c>
      <c r="AH17" s="9" t="s">
        <v>122</v>
      </c>
      <c r="AI17" s="9" t="s">
        <v>109</v>
      </c>
      <c r="AJ17" s="9" t="s">
        <v>109</v>
      </c>
      <c r="AK17" s="9" t="s">
        <v>421</v>
      </c>
      <c r="AL17" s="9" t="s">
        <v>422</v>
      </c>
      <c r="AM17" s="9" t="s">
        <v>423</v>
      </c>
      <c r="AN17" s="9" t="s">
        <v>424</v>
      </c>
      <c r="AO17" s="9" t="s">
        <v>366</v>
      </c>
      <c r="AP17" s="9" t="s">
        <v>425</v>
      </c>
      <c r="AQ17" s="9" t="s">
        <v>426</v>
      </c>
      <c r="AR17" s="10" t="s">
        <v>223</v>
      </c>
      <c r="AS17" s="10" t="n">
        <v>8</v>
      </c>
      <c r="AT17" s="10" t="n">
        <v>8</v>
      </c>
      <c r="AU17" s="10" t="n">
        <v>8</v>
      </c>
      <c r="AV17" s="10" t="n">
        <v>6</v>
      </c>
      <c r="AW17" s="10" t="n">
        <v>7</v>
      </c>
      <c r="AX17" s="9" t="s">
        <v>427</v>
      </c>
    </row>
    <row r="18" customFormat="false" ht="60" hidden="false" customHeight="true" outlineLevel="0" collapsed="false">
      <c r="A18" s="9" t="s">
        <v>428</v>
      </c>
      <c r="B18" s="9" t="s">
        <v>429</v>
      </c>
      <c r="C18" s="9" t="s">
        <v>33</v>
      </c>
      <c r="D18" s="9" t="s">
        <v>430</v>
      </c>
      <c r="E18" s="9" t="s">
        <v>431</v>
      </c>
      <c r="F18" s="9" t="s">
        <v>432</v>
      </c>
      <c r="G18" s="9" t="s">
        <v>433</v>
      </c>
      <c r="H18" s="9" t="s">
        <v>11</v>
      </c>
      <c r="I18" s="9" t="s">
        <v>202</v>
      </c>
      <c r="J18" s="9" t="s">
        <v>24</v>
      </c>
      <c r="K18" s="9" t="s">
        <v>434</v>
      </c>
      <c r="L18" s="9" t="s">
        <v>435</v>
      </c>
      <c r="M18" s="9" t="s">
        <v>436</v>
      </c>
      <c r="N18" s="9" t="s">
        <v>437</v>
      </c>
      <c r="O18" s="9" t="s">
        <v>438</v>
      </c>
      <c r="P18" s="9" t="s">
        <v>439</v>
      </c>
      <c r="Q18" s="9" t="s">
        <v>109</v>
      </c>
      <c r="R18" s="9" t="s">
        <v>440</v>
      </c>
      <c r="S18" s="9" t="s">
        <v>209</v>
      </c>
      <c r="T18" s="9" t="s">
        <v>210</v>
      </c>
      <c r="U18" s="9" t="s">
        <v>113</v>
      </c>
      <c r="V18" s="9" t="s">
        <v>114</v>
      </c>
      <c r="W18" s="9" t="s">
        <v>211</v>
      </c>
      <c r="X18" s="9" t="s">
        <v>116</v>
      </c>
      <c r="Y18" s="9" t="s">
        <v>212</v>
      </c>
      <c r="Z18" s="9" t="s">
        <v>213</v>
      </c>
      <c r="AA18" s="9" t="s">
        <v>145</v>
      </c>
      <c r="AB18" s="9" t="s">
        <v>122</v>
      </c>
      <c r="AC18" s="9" t="s">
        <v>441</v>
      </c>
      <c r="AD18" s="9" t="s">
        <v>215</v>
      </c>
      <c r="AE18" s="9" t="s">
        <v>122</v>
      </c>
      <c r="AF18" s="9" t="s">
        <v>122</v>
      </c>
      <c r="AG18" s="9" t="s">
        <v>122</v>
      </c>
      <c r="AH18" s="9" t="s">
        <v>122</v>
      </c>
      <c r="AI18" s="9" t="s">
        <v>109</v>
      </c>
      <c r="AJ18" s="9" t="s">
        <v>109</v>
      </c>
      <c r="AK18" s="9" t="s">
        <v>442</v>
      </c>
      <c r="AL18" s="9" t="s">
        <v>443</v>
      </c>
      <c r="AM18" s="9" t="s">
        <v>444</v>
      </c>
      <c r="AN18" s="9" t="s">
        <v>445</v>
      </c>
      <c r="AO18" s="9" t="s">
        <v>446</v>
      </c>
      <c r="AP18" s="9" t="s">
        <v>447</v>
      </c>
      <c r="AQ18" s="9" t="s">
        <v>448</v>
      </c>
      <c r="AR18" s="10" t="s">
        <v>223</v>
      </c>
      <c r="AS18" s="10" t="n">
        <v>9</v>
      </c>
      <c r="AT18" s="10" t="n">
        <v>7</v>
      </c>
      <c r="AU18" s="10" t="n">
        <v>8</v>
      </c>
      <c r="AV18" s="10" t="n">
        <v>8</v>
      </c>
      <c r="AW18" s="10" t="n">
        <v>7</v>
      </c>
      <c r="AX18" s="9" t="s">
        <v>449</v>
      </c>
    </row>
    <row r="19" customFormat="false" ht="60" hidden="false" customHeight="true" outlineLevel="0" collapsed="false">
      <c r="A19" s="9" t="s">
        <v>450</v>
      </c>
      <c r="B19" s="9" t="s">
        <v>451</v>
      </c>
      <c r="C19" s="9" t="s">
        <v>33</v>
      </c>
      <c r="D19" s="9" t="s">
        <v>452</v>
      </c>
      <c r="E19" s="9" t="s">
        <v>453</v>
      </c>
      <c r="F19" s="9" t="s">
        <v>454</v>
      </c>
      <c r="G19" s="9" t="s">
        <v>455</v>
      </c>
      <c r="H19" s="9" t="s">
        <v>13</v>
      </c>
      <c r="I19" s="9" t="s">
        <v>267</v>
      </c>
      <c r="J19" s="9" t="s">
        <v>28</v>
      </c>
      <c r="K19" s="9" t="s">
        <v>138</v>
      </c>
      <c r="L19" s="9" t="s">
        <v>139</v>
      </c>
      <c r="M19" s="9" t="s">
        <v>456</v>
      </c>
      <c r="N19" s="9" t="s">
        <v>457</v>
      </c>
      <c r="O19" s="9" t="s">
        <v>458</v>
      </c>
      <c r="P19" s="9" t="s">
        <v>459</v>
      </c>
      <c r="Q19" s="9" t="s">
        <v>235</v>
      </c>
      <c r="R19" s="9" t="s">
        <v>144</v>
      </c>
      <c r="S19" s="9" t="s">
        <v>272</v>
      </c>
      <c r="T19" s="9" t="s">
        <v>273</v>
      </c>
      <c r="U19" s="9" t="s">
        <v>113</v>
      </c>
      <c r="V19" s="9" t="s">
        <v>274</v>
      </c>
      <c r="W19" s="9" t="s">
        <v>211</v>
      </c>
      <c r="X19" s="9" t="s">
        <v>116</v>
      </c>
      <c r="Y19" s="9" t="s">
        <v>212</v>
      </c>
      <c r="Z19" s="9" t="s">
        <v>213</v>
      </c>
      <c r="AA19" s="9" t="s">
        <v>145</v>
      </c>
      <c r="AB19" s="9" t="s">
        <v>122</v>
      </c>
      <c r="AC19" s="9" t="s">
        <v>146</v>
      </c>
      <c r="AD19" s="9" t="s">
        <v>215</v>
      </c>
      <c r="AE19" s="9" t="s">
        <v>122</v>
      </c>
      <c r="AF19" s="9" t="s">
        <v>122</v>
      </c>
      <c r="AG19" s="9" t="s">
        <v>109</v>
      </c>
      <c r="AH19" s="9" t="s">
        <v>122</v>
      </c>
      <c r="AI19" s="9" t="s">
        <v>109</v>
      </c>
      <c r="AJ19" s="9" t="s">
        <v>109</v>
      </c>
      <c r="AK19" s="9" t="s">
        <v>460</v>
      </c>
      <c r="AL19" s="9" t="s">
        <v>461</v>
      </c>
      <c r="AM19" s="9" t="s">
        <v>462</v>
      </c>
      <c r="AN19" s="9" t="s">
        <v>463</v>
      </c>
      <c r="AO19" s="9" t="s">
        <v>446</v>
      </c>
      <c r="AP19" s="9" t="s">
        <v>464</v>
      </c>
      <c r="AQ19" s="9" t="s">
        <v>465</v>
      </c>
      <c r="AR19" s="10" t="s">
        <v>281</v>
      </c>
      <c r="AS19" s="10" t="n">
        <v>9</v>
      </c>
      <c r="AT19" s="10" t="n">
        <v>9</v>
      </c>
      <c r="AU19" s="10" t="n">
        <v>9</v>
      </c>
      <c r="AV19" s="10" t="n">
        <v>8</v>
      </c>
      <c r="AW19" s="10" t="n">
        <v>8</v>
      </c>
      <c r="AX19" s="9" t="s">
        <v>466</v>
      </c>
    </row>
    <row r="20" customFormat="false" ht="60" hidden="false" customHeight="true" outlineLevel="0" collapsed="false">
      <c r="A20" s="9" t="s">
        <v>467</v>
      </c>
      <c r="B20" s="9" t="s">
        <v>468</v>
      </c>
      <c r="C20" s="9" t="s">
        <v>33</v>
      </c>
      <c r="D20" s="9" t="s">
        <v>469</v>
      </c>
      <c r="E20" s="9" t="s">
        <v>470</v>
      </c>
      <c r="F20" s="9" t="s">
        <v>471</v>
      </c>
      <c r="G20" s="9" t="s">
        <v>472</v>
      </c>
      <c r="H20" s="9" t="s">
        <v>13</v>
      </c>
      <c r="I20" s="9" t="s">
        <v>267</v>
      </c>
      <c r="J20" s="9" t="s">
        <v>28</v>
      </c>
      <c r="K20" s="9" t="s">
        <v>138</v>
      </c>
      <c r="L20" s="9" t="s">
        <v>139</v>
      </c>
      <c r="M20" s="9" t="s">
        <v>473</v>
      </c>
      <c r="N20" s="9" t="s">
        <v>474</v>
      </c>
      <c r="O20" s="9" t="s">
        <v>475</v>
      </c>
      <c r="P20" s="9" t="s">
        <v>476</v>
      </c>
      <c r="Q20" s="9" t="s">
        <v>235</v>
      </c>
      <c r="R20" s="9" t="s">
        <v>144</v>
      </c>
      <c r="S20" s="9" t="s">
        <v>272</v>
      </c>
      <c r="T20" s="9" t="s">
        <v>273</v>
      </c>
      <c r="U20" s="9" t="s">
        <v>113</v>
      </c>
      <c r="V20" s="9" t="s">
        <v>274</v>
      </c>
      <c r="W20" s="9" t="s">
        <v>211</v>
      </c>
      <c r="X20" s="9" t="s">
        <v>116</v>
      </c>
      <c r="Y20" s="9" t="s">
        <v>212</v>
      </c>
      <c r="Z20" s="9" t="s">
        <v>213</v>
      </c>
      <c r="AA20" s="9" t="s">
        <v>145</v>
      </c>
      <c r="AB20" s="9" t="s">
        <v>122</v>
      </c>
      <c r="AC20" s="9" t="s">
        <v>146</v>
      </c>
      <c r="AD20" s="9" t="s">
        <v>215</v>
      </c>
      <c r="AE20" s="9" t="s">
        <v>122</v>
      </c>
      <c r="AF20" s="9" t="s">
        <v>122</v>
      </c>
      <c r="AG20" s="9" t="s">
        <v>109</v>
      </c>
      <c r="AH20" s="9" t="s">
        <v>122</v>
      </c>
      <c r="AI20" s="9" t="s">
        <v>109</v>
      </c>
      <c r="AJ20" s="9" t="s">
        <v>109</v>
      </c>
      <c r="AK20" s="9" t="s">
        <v>477</v>
      </c>
      <c r="AL20" s="9" t="s">
        <v>478</v>
      </c>
      <c r="AM20" s="9" t="s">
        <v>479</v>
      </c>
      <c r="AN20" s="9" t="s">
        <v>480</v>
      </c>
      <c r="AO20" s="9" t="s">
        <v>446</v>
      </c>
      <c r="AP20" s="9" t="s">
        <v>481</v>
      </c>
      <c r="AQ20" s="9" t="s">
        <v>482</v>
      </c>
      <c r="AR20" s="10" t="s">
        <v>281</v>
      </c>
      <c r="AS20" s="10" t="n">
        <v>10</v>
      </c>
      <c r="AT20" s="10" t="n">
        <v>7</v>
      </c>
      <c r="AU20" s="10" t="n">
        <v>8</v>
      </c>
      <c r="AV20" s="10" t="n">
        <v>8</v>
      </c>
      <c r="AW20" s="10" t="n">
        <v>9</v>
      </c>
      <c r="AX20" s="9" t="s">
        <v>483</v>
      </c>
    </row>
    <row r="21" customFormat="false" ht="60" hidden="false" customHeight="true" outlineLevel="0" collapsed="false">
      <c r="A21" s="9" t="s">
        <v>484</v>
      </c>
      <c r="B21" s="9" t="s">
        <v>485</v>
      </c>
      <c r="C21" s="9" t="s">
        <v>33</v>
      </c>
      <c r="D21" s="9" t="s">
        <v>486</v>
      </c>
      <c r="E21" s="9" t="s">
        <v>487</v>
      </c>
      <c r="F21" s="9" t="s">
        <v>488</v>
      </c>
      <c r="G21" s="9" t="s">
        <v>489</v>
      </c>
      <c r="H21" s="9" t="s">
        <v>13</v>
      </c>
      <c r="I21" s="9" t="s">
        <v>267</v>
      </c>
      <c r="J21" s="9" t="s">
        <v>30</v>
      </c>
      <c r="K21" s="9" t="s">
        <v>103</v>
      </c>
      <c r="L21" s="9" t="s">
        <v>203</v>
      </c>
      <c r="M21" s="9" t="s">
        <v>490</v>
      </c>
      <c r="N21" s="9" t="s">
        <v>491</v>
      </c>
      <c r="O21" s="9" t="s">
        <v>492</v>
      </c>
      <c r="P21" s="9" t="s">
        <v>493</v>
      </c>
      <c r="Q21" s="9" t="s">
        <v>122</v>
      </c>
      <c r="R21" s="9" t="s">
        <v>110</v>
      </c>
      <c r="S21" s="9" t="s">
        <v>272</v>
      </c>
      <c r="T21" s="9" t="s">
        <v>273</v>
      </c>
      <c r="U21" s="9" t="s">
        <v>113</v>
      </c>
      <c r="V21" s="9" t="s">
        <v>274</v>
      </c>
      <c r="W21" s="9" t="s">
        <v>211</v>
      </c>
      <c r="X21" s="9" t="s">
        <v>116</v>
      </c>
      <c r="Y21" s="9" t="s">
        <v>212</v>
      </c>
      <c r="Z21" s="9" t="s">
        <v>213</v>
      </c>
      <c r="AA21" s="9" t="s">
        <v>119</v>
      </c>
      <c r="AB21" s="9" t="s">
        <v>109</v>
      </c>
      <c r="AC21" s="9" t="s">
        <v>214</v>
      </c>
      <c r="AD21" s="9" t="s">
        <v>215</v>
      </c>
      <c r="AE21" s="9" t="s">
        <v>109</v>
      </c>
      <c r="AF21" s="9" t="s">
        <v>122</v>
      </c>
      <c r="AG21" s="9" t="s">
        <v>122</v>
      </c>
      <c r="AH21" s="9" t="s">
        <v>122</v>
      </c>
      <c r="AI21" s="9" t="s">
        <v>109</v>
      </c>
      <c r="AJ21" s="9" t="s">
        <v>109</v>
      </c>
      <c r="AK21" s="9" t="s">
        <v>494</v>
      </c>
      <c r="AL21" s="9" t="s">
        <v>495</v>
      </c>
      <c r="AM21" s="9" t="s">
        <v>496</v>
      </c>
      <c r="AN21" s="9" t="s">
        <v>497</v>
      </c>
      <c r="AO21" s="9" t="s">
        <v>446</v>
      </c>
      <c r="AP21" s="9" t="s">
        <v>498</v>
      </c>
      <c r="AQ21" s="9" t="s">
        <v>499</v>
      </c>
      <c r="AR21" s="10" t="s">
        <v>281</v>
      </c>
      <c r="AS21" s="10" t="n">
        <v>8</v>
      </c>
      <c r="AT21" s="10" t="n">
        <v>8</v>
      </c>
      <c r="AU21" s="10" t="n">
        <v>8</v>
      </c>
      <c r="AV21" s="10" t="n">
        <v>8</v>
      </c>
      <c r="AW21" s="10" t="n">
        <v>8</v>
      </c>
      <c r="AX21" s="9" t="s">
        <v>500</v>
      </c>
    </row>
    <row r="22" customFormat="false" ht="60" hidden="false" customHeight="true" outlineLevel="0" collapsed="false">
      <c r="A22" s="9" t="s">
        <v>501</v>
      </c>
      <c r="B22" s="9" t="s">
        <v>502</v>
      </c>
      <c r="C22" s="9" t="s">
        <v>8</v>
      </c>
      <c r="D22" s="9" t="s">
        <v>503</v>
      </c>
      <c r="E22" s="9" t="s">
        <v>504</v>
      </c>
      <c r="F22" s="9" t="s">
        <v>505</v>
      </c>
      <c r="G22" s="9" t="s">
        <v>506</v>
      </c>
      <c r="H22" s="9" t="s">
        <v>7</v>
      </c>
      <c r="I22" s="9" t="s">
        <v>102</v>
      </c>
      <c r="J22" s="9" t="s">
        <v>28</v>
      </c>
      <c r="K22" s="9" t="s">
        <v>138</v>
      </c>
      <c r="L22" s="9" t="s">
        <v>139</v>
      </c>
      <c r="M22" s="9" t="s">
        <v>507</v>
      </c>
      <c r="N22" s="9" t="s">
        <v>508</v>
      </c>
      <c r="O22" s="9" t="s">
        <v>509</v>
      </c>
      <c r="P22" s="9" t="s">
        <v>510</v>
      </c>
      <c r="Q22" s="9" t="s">
        <v>109</v>
      </c>
      <c r="R22" s="9" t="s">
        <v>144</v>
      </c>
      <c r="S22" s="9" t="s">
        <v>111</v>
      </c>
      <c r="T22" s="9" t="s">
        <v>112</v>
      </c>
      <c r="U22" s="9" t="s">
        <v>113</v>
      </c>
      <c r="V22" s="9" t="s">
        <v>114</v>
      </c>
      <c r="W22" s="9" t="s">
        <v>115</v>
      </c>
      <c r="X22" s="9" t="s">
        <v>116</v>
      </c>
      <c r="Y22" s="9" t="s">
        <v>117</v>
      </c>
      <c r="Z22" s="9" t="s">
        <v>118</v>
      </c>
      <c r="AA22" s="9" t="s">
        <v>145</v>
      </c>
      <c r="AB22" s="9" t="s">
        <v>122</v>
      </c>
      <c r="AC22" s="9" t="s">
        <v>146</v>
      </c>
      <c r="AD22" s="9" t="s">
        <v>121</v>
      </c>
      <c r="AE22" s="9" t="s">
        <v>122</v>
      </c>
      <c r="AF22" s="9" t="s">
        <v>122</v>
      </c>
      <c r="AG22" s="9" t="s">
        <v>109</v>
      </c>
      <c r="AH22" s="9" t="s">
        <v>122</v>
      </c>
      <c r="AI22" s="9" t="s">
        <v>109</v>
      </c>
      <c r="AJ22" s="9" t="s">
        <v>109</v>
      </c>
      <c r="AK22" s="9" t="s">
        <v>511</v>
      </c>
      <c r="AL22" s="9" t="s">
        <v>512</v>
      </c>
      <c r="AM22" s="9" t="s">
        <v>513</v>
      </c>
      <c r="AN22" s="9" t="s">
        <v>514</v>
      </c>
      <c r="AO22" s="9" t="s">
        <v>515</v>
      </c>
      <c r="AP22" s="9" t="s">
        <v>516</v>
      </c>
      <c r="AQ22" s="9" t="s">
        <v>517</v>
      </c>
      <c r="AR22" s="10" t="s">
        <v>130</v>
      </c>
      <c r="AS22" s="10" t="n">
        <v>5</v>
      </c>
      <c r="AT22" s="10" t="n">
        <v>5</v>
      </c>
      <c r="AU22" s="10" t="n">
        <v>3</v>
      </c>
      <c r="AV22" s="10" t="n">
        <v>3</v>
      </c>
      <c r="AW22" s="10" t="n">
        <v>2</v>
      </c>
      <c r="AX22" s="9" t="s">
        <v>518</v>
      </c>
    </row>
    <row r="23" customFormat="false" ht="60" hidden="false" customHeight="true" outlineLevel="0" collapsed="false">
      <c r="A23" s="9" t="s">
        <v>519</v>
      </c>
      <c r="B23" s="9" t="s">
        <v>520</v>
      </c>
      <c r="C23" s="9" t="s">
        <v>8</v>
      </c>
      <c r="D23" s="9" t="s">
        <v>521</v>
      </c>
      <c r="E23" s="9" t="s">
        <v>522</v>
      </c>
      <c r="F23" s="9" t="s">
        <v>523</v>
      </c>
      <c r="G23" s="9" t="s">
        <v>524</v>
      </c>
      <c r="H23" s="9" t="s">
        <v>7</v>
      </c>
      <c r="I23" s="9" t="s">
        <v>102</v>
      </c>
      <c r="J23" s="9" t="s">
        <v>28</v>
      </c>
      <c r="K23" s="9" t="s">
        <v>138</v>
      </c>
      <c r="L23" s="9" t="s">
        <v>139</v>
      </c>
      <c r="M23" s="9" t="s">
        <v>525</v>
      </c>
      <c r="N23" s="9" t="s">
        <v>526</v>
      </c>
      <c r="O23" s="9" t="s">
        <v>527</v>
      </c>
      <c r="P23" s="9" t="s">
        <v>528</v>
      </c>
      <c r="Q23" s="9" t="s">
        <v>122</v>
      </c>
      <c r="R23" s="9" t="s">
        <v>144</v>
      </c>
      <c r="S23" s="9" t="s">
        <v>111</v>
      </c>
      <c r="T23" s="9" t="s">
        <v>112</v>
      </c>
      <c r="U23" s="9" t="s">
        <v>113</v>
      </c>
      <c r="V23" s="9" t="s">
        <v>114</v>
      </c>
      <c r="W23" s="9" t="s">
        <v>115</v>
      </c>
      <c r="X23" s="9" t="s">
        <v>116</v>
      </c>
      <c r="Y23" s="9" t="s">
        <v>117</v>
      </c>
      <c r="Z23" s="9" t="s">
        <v>118</v>
      </c>
      <c r="AA23" s="9" t="s">
        <v>145</v>
      </c>
      <c r="AB23" s="9" t="s">
        <v>122</v>
      </c>
      <c r="AC23" s="9" t="s">
        <v>146</v>
      </c>
      <c r="AD23" s="9" t="s">
        <v>121</v>
      </c>
      <c r="AE23" s="9" t="s">
        <v>122</v>
      </c>
      <c r="AF23" s="9" t="s">
        <v>122</v>
      </c>
      <c r="AG23" s="9" t="s">
        <v>109</v>
      </c>
      <c r="AH23" s="9" t="s">
        <v>122</v>
      </c>
      <c r="AI23" s="9" t="s">
        <v>109</v>
      </c>
      <c r="AJ23" s="9" t="s">
        <v>109</v>
      </c>
      <c r="AK23" s="9" t="s">
        <v>529</v>
      </c>
      <c r="AL23" s="9" t="s">
        <v>530</v>
      </c>
      <c r="AM23" s="9" t="s">
        <v>531</v>
      </c>
      <c r="AN23" s="9" t="s">
        <v>532</v>
      </c>
      <c r="AO23" s="9" t="s">
        <v>515</v>
      </c>
      <c r="AP23" s="9" t="s">
        <v>533</v>
      </c>
      <c r="AQ23" s="9" t="s">
        <v>534</v>
      </c>
      <c r="AR23" s="10" t="s">
        <v>130</v>
      </c>
      <c r="AS23" s="10" t="n">
        <v>5</v>
      </c>
      <c r="AT23" s="10" t="n">
        <v>4</v>
      </c>
      <c r="AU23" s="10" t="n">
        <v>4</v>
      </c>
      <c r="AV23" s="10" t="n">
        <v>4</v>
      </c>
      <c r="AW23" s="10" t="n">
        <v>1</v>
      </c>
      <c r="AX23" s="9" t="s">
        <v>535</v>
      </c>
    </row>
    <row r="24" customFormat="false" ht="60" hidden="false" customHeight="true" outlineLevel="0" collapsed="false">
      <c r="A24" s="9" t="s">
        <v>536</v>
      </c>
      <c r="B24" s="9" t="s">
        <v>537</v>
      </c>
      <c r="C24" s="9" t="s">
        <v>8</v>
      </c>
      <c r="D24" s="9" t="s">
        <v>538</v>
      </c>
      <c r="E24" s="9" t="s">
        <v>539</v>
      </c>
      <c r="F24" s="9" t="s">
        <v>540</v>
      </c>
      <c r="G24" s="9" t="s">
        <v>541</v>
      </c>
      <c r="H24" s="9" t="s">
        <v>9</v>
      </c>
      <c r="I24" s="9" t="s">
        <v>160</v>
      </c>
      <c r="J24" s="9" t="s">
        <v>24</v>
      </c>
      <c r="K24" s="9" t="s">
        <v>434</v>
      </c>
      <c r="L24" s="9" t="s">
        <v>435</v>
      </c>
      <c r="M24" s="9" t="s">
        <v>542</v>
      </c>
      <c r="N24" s="9" t="s">
        <v>543</v>
      </c>
      <c r="O24" s="9" t="s">
        <v>544</v>
      </c>
      <c r="P24" s="9" t="s">
        <v>545</v>
      </c>
      <c r="Q24" s="9" t="s">
        <v>122</v>
      </c>
      <c r="R24" s="9" t="s">
        <v>440</v>
      </c>
      <c r="S24" s="9" t="s">
        <v>168</v>
      </c>
      <c r="T24" s="9" t="s">
        <v>169</v>
      </c>
      <c r="U24" s="9" t="s">
        <v>113</v>
      </c>
      <c r="V24" s="9" t="s">
        <v>114</v>
      </c>
      <c r="W24" s="9" t="s">
        <v>115</v>
      </c>
      <c r="X24" s="9" t="s">
        <v>116</v>
      </c>
      <c r="Y24" s="9" t="s">
        <v>117</v>
      </c>
      <c r="Z24" s="9" t="s">
        <v>118</v>
      </c>
      <c r="AA24" s="9" t="s">
        <v>145</v>
      </c>
      <c r="AB24" s="9" t="s">
        <v>122</v>
      </c>
      <c r="AC24" s="9" t="s">
        <v>441</v>
      </c>
      <c r="AD24" s="9" t="s">
        <v>121</v>
      </c>
      <c r="AE24" s="9" t="s">
        <v>122</v>
      </c>
      <c r="AF24" s="9" t="s">
        <v>122</v>
      </c>
      <c r="AG24" s="9" t="s">
        <v>122</v>
      </c>
      <c r="AH24" s="9" t="s">
        <v>122</v>
      </c>
      <c r="AI24" s="9" t="s">
        <v>109</v>
      </c>
      <c r="AJ24" s="9" t="s">
        <v>109</v>
      </c>
      <c r="AK24" s="9" t="s">
        <v>546</v>
      </c>
      <c r="AL24" s="9" t="s">
        <v>547</v>
      </c>
      <c r="AM24" s="9" t="s">
        <v>548</v>
      </c>
      <c r="AN24" s="9" t="s">
        <v>549</v>
      </c>
      <c r="AO24" s="9" t="s">
        <v>515</v>
      </c>
      <c r="AP24" s="9" t="s">
        <v>550</v>
      </c>
      <c r="AQ24" s="9" t="s">
        <v>551</v>
      </c>
      <c r="AR24" s="10" t="s">
        <v>177</v>
      </c>
      <c r="AS24" s="10" t="n">
        <v>7</v>
      </c>
      <c r="AT24" s="10" t="n">
        <v>6</v>
      </c>
      <c r="AU24" s="10" t="n">
        <v>5</v>
      </c>
      <c r="AV24" s="10" t="n">
        <v>5</v>
      </c>
      <c r="AW24" s="10" t="n">
        <v>5</v>
      </c>
      <c r="AX24" s="9" t="s">
        <v>552</v>
      </c>
    </row>
    <row r="25" customFormat="false" ht="60" hidden="false" customHeight="true" outlineLevel="0" collapsed="false">
      <c r="A25" s="9" t="s">
        <v>553</v>
      </c>
      <c r="B25" s="9" t="s">
        <v>554</v>
      </c>
      <c r="C25" s="9" t="s">
        <v>8</v>
      </c>
      <c r="D25" s="9" t="s">
        <v>555</v>
      </c>
      <c r="E25" s="9" t="s">
        <v>556</v>
      </c>
      <c r="F25" s="9" t="s">
        <v>557</v>
      </c>
      <c r="G25" s="9" t="s">
        <v>558</v>
      </c>
      <c r="H25" s="9" t="s">
        <v>9</v>
      </c>
      <c r="I25" s="9" t="s">
        <v>160</v>
      </c>
      <c r="J25" s="9" t="s">
        <v>30</v>
      </c>
      <c r="K25" s="9" t="s">
        <v>103</v>
      </c>
      <c r="L25" s="9" t="s">
        <v>203</v>
      </c>
      <c r="M25" s="9" t="s">
        <v>559</v>
      </c>
      <c r="N25" s="9" t="s">
        <v>560</v>
      </c>
      <c r="O25" s="9" t="s">
        <v>561</v>
      </c>
      <c r="P25" s="9" t="s">
        <v>562</v>
      </c>
      <c r="Q25" s="9" t="s">
        <v>122</v>
      </c>
      <c r="R25" s="9" t="s">
        <v>110</v>
      </c>
      <c r="S25" s="9" t="s">
        <v>168</v>
      </c>
      <c r="T25" s="9" t="s">
        <v>169</v>
      </c>
      <c r="U25" s="9" t="s">
        <v>113</v>
      </c>
      <c r="V25" s="9" t="s">
        <v>114</v>
      </c>
      <c r="W25" s="9" t="s">
        <v>115</v>
      </c>
      <c r="X25" s="9" t="s">
        <v>116</v>
      </c>
      <c r="Y25" s="9" t="s">
        <v>117</v>
      </c>
      <c r="Z25" s="9" t="s">
        <v>118</v>
      </c>
      <c r="AA25" s="9" t="s">
        <v>119</v>
      </c>
      <c r="AB25" s="9" t="s">
        <v>109</v>
      </c>
      <c r="AC25" s="9" t="s">
        <v>214</v>
      </c>
      <c r="AD25" s="9" t="s">
        <v>121</v>
      </c>
      <c r="AE25" s="9" t="s">
        <v>109</v>
      </c>
      <c r="AF25" s="9" t="s">
        <v>122</v>
      </c>
      <c r="AG25" s="9" t="s">
        <v>122</v>
      </c>
      <c r="AH25" s="9" t="s">
        <v>122</v>
      </c>
      <c r="AI25" s="9" t="s">
        <v>109</v>
      </c>
      <c r="AJ25" s="9" t="s">
        <v>109</v>
      </c>
      <c r="AK25" s="9" t="s">
        <v>563</v>
      </c>
      <c r="AL25" s="9" t="s">
        <v>564</v>
      </c>
      <c r="AM25" s="9" t="s">
        <v>565</v>
      </c>
      <c r="AN25" s="9" t="s">
        <v>566</v>
      </c>
      <c r="AO25" s="9" t="s">
        <v>515</v>
      </c>
      <c r="AP25" s="9" t="s">
        <v>567</v>
      </c>
      <c r="AQ25" s="9" t="s">
        <v>568</v>
      </c>
      <c r="AR25" s="10" t="s">
        <v>177</v>
      </c>
      <c r="AS25" s="10" t="n">
        <v>6</v>
      </c>
      <c r="AT25" s="10" t="n">
        <v>7</v>
      </c>
      <c r="AU25" s="10" t="n">
        <v>6</v>
      </c>
      <c r="AV25" s="10" t="n">
        <v>4</v>
      </c>
      <c r="AW25" s="10" t="n">
        <v>3</v>
      </c>
      <c r="AX25" s="9" t="s">
        <v>569</v>
      </c>
    </row>
    <row r="26" customFormat="false" ht="60" hidden="false" customHeight="true" outlineLevel="0" collapsed="false">
      <c r="A26" s="9" t="s">
        <v>570</v>
      </c>
      <c r="B26" s="9" t="s">
        <v>571</v>
      </c>
      <c r="C26" s="9" t="s">
        <v>14</v>
      </c>
      <c r="D26" s="9" t="s">
        <v>572</v>
      </c>
      <c r="E26" s="9" t="s">
        <v>573</v>
      </c>
      <c r="F26" s="9" t="s">
        <v>574</v>
      </c>
      <c r="G26" s="9" t="s">
        <v>575</v>
      </c>
      <c r="H26" s="9" t="s">
        <v>11</v>
      </c>
      <c r="I26" s="9" t="s">
        <v>202</v>
      </c>
      <c r="J26" s="9" t="s">
        <v>28</v>
      </c>
      <c r="K26" s="9" t="s">
        <v>138</v>
      </c>
      <c r="L26" s="9" t="s">
        <v>139</v>
      </c>
      <c r="M26" s="9" t="s">
        <v>576</v>
      </c>
      <c r="N26" s="9" t="s">
        <v>577</v>
      </c>
      <c r="O26" s="9" t="s">
        <v>578</v>
      </c>
      <c r="P26" s="9" t="s">
        <v>252</v>
      </c>
      <c r="Q26" s="9" t="s">
        <v>109</v>
      </c>
      <c r="R26" s="9" t="s">
        <v>144</v>
      </c>
      <c r="S26" s="9" t="s">
        <v>209</v>
      </c>
      <c r="T26" s="9" t="s">
        <v>210</v>
      </c>
      <c r="U26" s="9" t="s">
        <v>113</v>
      </c>
      <c r="V26" s="9" t="s">
        <v>114</v>
      </c>
      <c r="W26" s="9" t="s">
        <v>211</v>
      </c>
      <c r="X26" s="9" t="s">
        <v>116</v>
      </c>
      <c r="Y26" s="9" t="s">
        <v>212</v>
      </c>
      <c r="Z26" s="9" t="s">
        <v>213</v>
      </c>
      <c r="AA26" s="9" t="s">
        <v>145</v>
      </c>
      <c r="AB26" s="9" t="s">
        <v>122</v>
      </c>
      <c r="AC26" s="9" t="s">
        <v>146</v>
      </c>
      <c r="AD26" s="9" t="s">
        <v>215</v>
      </c>
      <c r="AE26" s="9" t="s">
        <v>122</v>
      </c>
      <c r="AF26" s="9" t="s">
        <v>122</v>
      </c>
      <c r="AG26" s="9" t="s">
        <v>109</v>
      </c>
      <c r="AH26" s="9" t="s">
        <v>122</v>
      </c>
      <c r="AI26" s="9" t="s">
        <v>109</v>
      </c>
      <c r="AJ26" s="9" t="s">
        <v>109</v>
      </c>
      <c r="AK26" s="9" t="s">
        <v>579</v>
      </c>
      <c r="AL26" s="9" t="s">
        <v>580</v>
      </c>
      <c r="AM26" s="9" t="s">
        <v>581</v>
      </c>
      <c r="AN26" s="9" t="s">
        <v>582</v>
      </c>
      <c r="AO26" s="9" t="s">
        <v>583</v>
      </c>
      <c r="AP26" s="9" t="s">
        <v>584</v>
      </c>
      <c r="AQ26" s="9" t="s">
        <v>585</v>
      </c>
      <c r="AR26" s="10" t="s">
        <v>223</v>
      </c>
      <c r="AS26" s="10" t="n">
        <v>8</v>
      </c>
      <c r="AT26" s="10" t="n">
        <v>9</v>
      </c>
      <c r="AU26" s="10" t="n">
        <v>6</v>
      </c>
      <c r="AV26" s="10" t="n">
        <v>6</v>
      </c>
      <c r="AW26" s="10" t="n">
        <v>5</v>
      </c>
      <c r="AX26" s="9" t="s">
        <v>586</v>
      </c>
    </row>
    <row r="27" customFormat="false" ht="60" hidden="false" customHeight="true" outlineLevel="0" collapsed="false">
      <c r="A27" s="9" t="s">
        <v>587</v>
      </c>
      <c r="B27" s="9" t="s">
        <v>588</v>
      </c>
      <c r="C27" s="9" t="s">
        <v>14</v>
      </c>
      <c r="D27" s="9" t="s">
        <v>589</v>
      </c>
      <c r="E27" s="9" t="s">
        <v>590</v>
      </c>
      <c r="F27" s="9" t="s">
        <v>591</v>
      </c>
      <c r="G27" s="9" t="s">
        <v>592</v>
      </c>
      <c r="H27" s="9" t="s">
        <v>11</v>
      </c>
      <c r="I27" s="9" t="s">
        <v>202</v>
      </c>
      <c r="J27" s="9" t="s">
        <v>28</v>
      </c>
      <c r="K27" s="9" t="s">
        <v>138</v>
      </c>
      <c r="L27" s="9" t="s">
        <v>139</v>
      </c>
      <c r="M27" s="9" t="s">
        <v>593</v>
      </c>
      <c r="N27" s="9" t="s">
        <v>594</v>
      </c>
      <c r="O27" s="9" t="s">
        <v>595</v>
      </c>
      <c r="P27" s="9" t="s">
        <v>596</v>
      </c>
      <c r="Q27" s="9" t="s">
        <v>122</v>
      </c>
      <c r="R27" s="9" t="s">
        <v>144</v>
      </c>
      <c r="S27" s="9" t="s">
        <v>209</v>
      </c>
      <c r="T27" s="9" t="s">
        <v>210</v>
      </c>
      <c r="U27" s="9" t="s">
        <v>113</v>
      </c>
      <c r="V27" s="9" t="s">
        <v>114</v>
      </c>
      <c r="W27" s="9" t="s">
        <v>211</v>
      </c>
      <c r="X27" s="9" t="s">
        <v>116</v>
      </c>
      <c r="Y27" s="9" t="s">
        <v>212</v>
      </c>
      <c r="Z27" s="9" t="s">
        <v>213</v>
      </c>
      <c r="AA27" s="9" t="s">
        <v>145</v>
      </c>
      <c r="AB27" s="9" t="s">
        <v>122</v>
      </c>
      <c r="AC27" s="9" t="s">
        <v>146</v>
      </c>
      <c r="AD27" s="9" t="s">
        <v>215</v>
      </c>
      <c r="AE27" s="9" t="s">
        <v>122</v>
      </c>
      <c r="AF27" s="9" t="s">
        <v>122</v>
      </c>
      <c r="AG27" s="9" t="s">
        <v>109</v>
      </c>
      <c r="AH27" s="9" t="s">
        <v>122</v>
      </c>
      <c r="AI27" s="9" t="s">
        <v>109</v>
      </c>
      <c r="AJ27" s="9" t="s">
        <v>109</v>
      </c>
      <c r="AK27" s="9" t="s">
        <v>597</v>
      </c>
      <c r="AL27" s="9" t="s">
        <v>598</v>
      </c>
      <c r="AM27" s="9" t="s">
        <v>599</v>
      </c>
      <c r="AN27" s="9" t="s">
        <v>600</v>
      </c>
      <c r="AO27" s="9" t="s">
        <v>583</v>
      </c>
      <c r="AP27" s="9" t="s">
        <v>601</v>
      </c>
      <c r="AQ27" s="9" t="s">
        <v>602</v>
      </c>
      <c r="AR27" s="10" t="s">
        <v>223</v>
      </c>
      <c r="AS27" s="10" t="n">
        <v>7</v>
      </c>
      <c r="AT27" s="10" t="n">
        <v>7</v>
      </c>
      <c r="AU27" s="10" t="n">
        <v>8</v>
      </c>
      <c r="AV27" s="10" t="n">
        <v>8</v>
      </c>
      <c r="AW27" s="10" t="n">
        <v>5</v>
      </c>
      <c r="AX27" s="9" t="s">
        <v>603</v>
      </c>
    </row>
    <row r="28" customFormat="false" ht="60" hidden="false" customHeight="true" outlineLevel="0" collapsed="false">
      <c r="A28" s="9" t="s">
        <v>604</v>
      </c>
      <c r="B28" s="9" t="s">
        <v>605</v>
      </c>
      <c r="C28" s="9" t="s">
        <v>14</v>
      </c>
      <c r="D28" s="9" t="s">
        <v>606</v>
      </c>
      <c r="E28" s="9" t="s">
        <v>607</v>
      </c>
      <c r="F28" s="9" t="s">
        <v>608</v>
      </c>
      <c r="G28" s="9" t="s">
        <v>609</v>
      </c>
      <c r="H28" s="9" t="s">
        <v>11</v>
      </c>
      <c r="I28" s="9" t="s">
        <v>202</v>
      </c>
      <c r="J28" s="9" t="s">
        <v>24</v>
      </c>
      <c r="K28" s="9" t="s">
        <v>434</v>
      </c>
      <c r="L28" s="9" t="s">
        <v>435</v>
      </c>
      <c r="M28" s="9" t="s">
        <v>610</v>
      </c>
      <c r="N28" s="9" t="s">
        <v>611</v>
      </c>
      <c r="O28" s="9" t="s">
        <v>612</v>
      </c>
      <c r="P28" s="9" t="s">
        <v>613</v>
      </c>
      <c r="Q28" s="9" t="s">
        <v>109</v>
      </c>
      <c r="R28" s="9" t="s">
        <v>440</v>
      </c>
      <c r="S28" s="9" t="s">
        <v>209</v>
      </c>
      <c r="T28" s="9" t="s">
        <v>210</v>
      </c>
      <c r="U28" s="9" t="s">
        <v>113</v>
      </c>
      <c r="V28" s="9" t="s">
        <v>114</v>
      </c>
      <c r="W28" s="9" t="s">
        <v>211</v>
      </c>
      <c r="X28" s="9" t="s">
        <v>116</v>
      </c>
      <c r="Y28" s="9" t="s">
        <v>212</v>
      </c>
      <c r="Z28" s="9" t="s">
        <v>213</v>
      </c>
      <c r="AA28" s="9" t="s">
        <v>145</v>
      </c>
      <c r="AB28" s="9" t="s">
        <v>122</v>
      </c>
      <c r="AC28" s="9" t="s">
        <v>441</v>
      </c>
      <c r="AD28" s="9" t="s">
        <v>215</v>
      </c>
      <c r="AE28" s="9" t="s">
        <v>122</v>
      </c>
      <c r="AF28" s="9" t="s">
        <v>122</v>
      </c>
      <c r="AG28" s="9" t="s">
        <v>122</v>
      </c>
      <c r="AH28" s="9" t="s">
        <v>122</v>
      </c>
      <c r="AI28" s="9" t="s">
        <v>109</v>
      </c>
      <c r="AJ28" s="9" t="s">
        <v>109</v>
      </c>
      <c r="AK28" s="9" t="s">
        <v>614</v>
      </c>
      <c r="AL28" s="9" t="s">
        <v>615</v>
      </c>
      <c r="AM28" s="9" t="s">
        <v>616</v>
      </c>
      <c r="AN28" s="9" t="s">
        <v>617</v>
      </c>
      <c r="AO28" s="9" t="s">
        <v>583</v>
      </c>
      <c r="AP28" s="9" t="s">
        <v>618</v>
      </c>
      <c r="AQ28" s="9" t="s">
        <v>619</v>
      </c>
      <c r="AR28" s="10" t="s">
        <v>223</v>
      </c>
      <c r="AS28" s="10" t="n">
        <v>7</v>
      </c>
      <c r="AT28" s="10" t="n">
        <v>8</v>
      </c>
      <c r="AU28" s="10" t="n">
        <v>7</v>
      </c>
      <c r="AV28" s="10" t="n">
        <v>8</v>
      </c>
      <c r="AW28" s="10" t="n">
        <v>6</v>
      </c>
      <c r="AX28" s="9" t="s">
        <v>620</v>
      </c>
    </row>
    <row r="29" customFormat="false" ht="60" hidden="false" customHeight="true" outlineLevel="0" collapsed="false">
      <c r="A29" s="9" t="s">
        <v>621</v>
      </c>
      <c r="B29" s="9" t="s">
        <v>622</v>
      </c>
      <c r="C29" s="9" t="s">
        <v>14</v>
      </c>
      <c r="D29" s="9" t="s">
        <v>623</v>
      </c>
      <c r="E29" s="9" t="s">
        <v>624</v>
      </c>
      <c r="F29" s="9" t="s">
        <v>625</v>
      </c>
      <c r="G29" s="9" t="s">
        <v>626</v>
      </c>
      <c r="H29" s="9" t="s">
        <v>13</v>
      </c>
      <c r="I29" s="9" t="s">
        <v>267</v>
      </c>
      <c r="J29" s="9" t="s">
        <v>30</v>
      </c>
      <c r="K29" s="9" t="s">
        <v>103</v>
      </c>
      <c r="L29" s="9" t="s">
        <v>203</v>
      </c>
      <c r="M29" s="9" t="s">
        <v>627</v>
      </c>
      <c r="N29" s="9" t="s">
        <v>628</v>
      </c>
      <c r="O29" s="9" t="s">
        <v>629</v>
      </c>
      <c r="P29" s="9" t="s">
        <v>630</v>
      </c>
      <c r="Q29" s="9" t="s">
        <v>122</v>
      </c>
      <c r="R29" s="9" t="s">
        <v>110</v>
      </c>
      <c r="S29" s="9" t="s">
        <v>272</v>
      </c>
      <c r="T29" s="9" t="s">
        <v>273</v>
      </c>
      <c r="U29" s="9" t="s">
        <v>113</v>
      </c>
      <c r="V29" s="9" t="s">
        <v>274</v>
      </c>
      <c r="W29" s="9" t="s">
        <v>211</v>
      </c>
      <c r="X29" s="9" t="s">
        <v>116</v>
      </c>
      <c r="Y29" s="9" t="s">
        <v>212</v>
      </c>
      <c r="Z29" s="9" t="s">
        <v>213</v>
      </c>
      <c r="AA29" s="9" t="s">
        <v>119</v>
      </c>
      <c r="AB29" s="9" t="s">
        <v>109</v>
      </c>
      <c r="AC29" s="9" t="s">
        <v>214</v>
      </c>
      <c r="AD29" s="9" t="s">
        <v>215</v>
      </c>
      <c r="AE29" s="9" t="s">
        <v>109</v>
      </c>
      <c r="AF29" s="9" t="s">
        <v>122</v>
      </c>
      <c r="AG29" s="9" t="s">
        <v>122</v>
      </c>
      <c r="AH29" s="9" t="s">
        <v>122</v>
      </c>
      <c r="AI29" s="9" t="s">
        <v>109</v>
      </c>
      <c r="AJ29" s="9" t="s">
        <v>109</v>
      </c>
      <c r="AK29" s="9" t="s">
        <v>631</v>
      </c>
      <c r="AL29" s="9" t="s">
        <v>632</v>
      </c>
      <c r="AM29" s="9" t="s">
        <v>633</v>
      </c>
      <c r="AN29" s="9" t="s">
        <v>634</v>
      </c>
      <c r="AO29" s="9" t="s">
        <v>583</v>
      </c>
      <c r="AP29" s="9" t="s">
        <v>635</v>
      </c>
      <c r="AQ29" s="9" t="s">
        <v>636</v>
      </c>
      <c r="AR29" s="10" t="s">
        <v>281</v>
      </c>
      <c r="AS29" s="10" t="n">
        <v>9</v>
      </c>
      <c r="AT29" s="10" t="n">
        <v>8</v>
      </c>
      <c r="AU29" s="10" t="n">
        <v>8</v>
      </c>
      <c r="AV29" s="10" t="n">
        <v>8</v>
      </c>
      <c r="AW29" s="10" t="n">
        <v>8</v>
      </c>
      <c r="AX29" s="9" t="s">
        <v>637</v>
      </c>
    </row>
    <row r="30" customFormat="false" ht="60" hidden="false" customHeight="true" outlineLevel="0" collapsed="false">
      <c r="A30" s="9" t="s">
        <v>638</v>
      </c>
      <c r="B30" s="9" t="s">
        <v>639</v>
      </c>
      <c r="C30" s="9" t="s">
        <v>40</v>
      </c>
      <c r="D30" s="9" t="s">
        <v>640</v>
      </c>
      <c r="E30" s="9" t="s">
        <v>641</v>
      </c>
      <c r="F30" s="9" t="s">
        <v>642</v>
      </c>
      <c r="G30" s="9" t="s">
        <v>643</v>
      </c>
      <c r="H30" s="9" t="s">
        <v>13</v>
      </c>
      <c r="I30" s="9" t="s">
        <v>267</v>
      </c>
      <c r="J30" s="9" t="s">
        <v>28</v>
      </c>
      <c r="K30" s="9" t="s">
        <v>138</v>
      </c>
      <c r="L30" s="9" t="s">
        <v>139</v>
      </c>
      <c r="M30" s="9" t="s">
        <v>644</v>
      </c>
      <c r="N30" s="9" t="s">
        <v>645</v>
      </c>
      <c r="O30" s="9" t="s">
        <v>646</v>
      </c>
      <c r="P30" s="9" t="s">
        <v>647</v>
      </c>
      <c r="Q30" s="9" t="s">
        <v>235</v>
      </c>
      <c r="R30" s="9" t="s">
        <v>144</v>
      </c>
      <c r="S30" s="9" t="s">
        <v>272</v>
      </c>
      <c r="T30" s="9" t="s">
        <v>273</v>
      </c>
      <c r="U30" s="9" t="s">
        <v>113</v>
      </c>
      <c r="V30" s="9" t="s">
        <v>274</v>
      </c>
      <c r="W30" s="9" t="s">
        <v>211</v>
      </c>
      <c r="X30" s="9" t="s">
        <v>116</v>
      </c>
      <c r="Y30" s="9" t="s">
        <v>212</v>
      </c>
      <c r="Z30" s="9" t="s">
        <v>213</v>
      </c>
      <c r="AA30" s="9" t="s">
        <v>145</v>
      </c>
      <c r="AB30" s="9" t="s">
        <v>122</v>
      </c>
      <c r="AC30" s="9" t="s">
        <v>146</v>
      </c>
      <c r="AD30" s="9" t="s">
        <v>215</v>
      </c>
      <c r="AE30" s="9" t="s">
        <v>122</v>
      </c>
      <c r="AF30" s="9" t="s">
        <v>122</v>
      </c>
      <c r="AG30" s="9" t="s">
        <v>109</v>
      </c>
      <c r="AH30" s="9" t="s">
        <v>122</v>
      </c>
      <c r="AI30" s="9" t="s">
        <v>109</v>
      </c>
      <c r="AJ30" s="9" t="s">
        <v>109</v>
      </c>
      <c r="AK30" s="9" t="s">
        <v>648</v>
      </c>
      <c r="AL30" s="9" t="s">
        <v>649</v>
      </c>
      <c r="AM30" s="9" t="s">
        <v>650</v>
      </c>
      <c r="AN30" s="9" t="s">
        <v>651</v>
      </c>
      <c r="AO30" s="9" t="s">
        <v>652</v>
      </c>
      <c r="AP30" s="9" t="s">
        <v>653</v>
      </c>
      <c r="AQ30" s="9" t="s">
        <v>654</v>
      </c>
      <c r="AR30" s="10" t="s">
        <v>281</v>
      </c>
      <c r="AS30" s="10" t="n">
        <v>8</v>
      </c>
      <c r="AT30" s="10" t="n">
        <v>9</v>
      </c>
      <c r="AU30" s="10" t="n">
        <v>8</v>
      </c>
      <c r="AV30" s="10" t="n">
        <v>10</v>
      </c>
      <c r="AW30" s="10" t="n">
        <v>8</v>
      </c>
      <c r="AX30" s="9" t="s">
        <v>655</v>
      </c>
    </row>
    <row r="31" customFormat="false" ht="60" hidden="false" customHeight="true" outlineLevel="0" collapsed="false">
      <c r="A31" s="9" t="s">
        <v>656</v>
      </c>
      <c r="B31" s="9" t="s">
        <v>657</v>
      </c>
      <c r="C31" s="9" t="s">
        <v>40</v>
      </c>
      <c r="D31" s="9" t="s">
        <v>658</v>
      </c>
      <c r="E31" s="9" t="s">
        <v>659</v>
      </c>
      <c r="F31" s="9" t="s">
        <v>660</v>
      </c>
      <c r="G31" s="9" t="s">
        <v>661</v>
      </c>
      <c r="H31" s="9" t="s">
        <v>13</v>
      </c>
      <c r="I31" s="9" t="s">
        <v>267</v>
      </c>
      <c r="J31" s="9" t="s">
        <v>28</v>
      </c>
      <c r="K31" s="9" t="s">
        <v>138</v>
      </c>
      <c r="L31" s="9" t="s">
        <v>139</v>
      </c>
      <c r="M31" s="9" t="s">
        <v>662</v>
      </c>
      <c r="N31" s="9" t="s">
        <v>663</v>
      </c>
      <c r="O31" s="9" t="s">
        <v>664</v>
      </c>
      <c r="P31" s="9" t="s">
        <v>665</v>
      </c>
      <c r="Q31" s="9" t="s">
        <v>109</v>
      </c>
      <c r="R31" s="9" t="s">
        <v>144</v>
      </c>
      <c r="S31" s="9" t="s">
        <v>272</v>
      </c>
      <c r="T31" s="9" t="s">
        <v>273</v>
      </c>
      <c r="U31" s="9" t="s">
        <v>113</v>
      </c>
      <c r="V31" s="9" t="s">
        <v>274</v>
      </c>
      <c r="W31" s="9" t="s">
        <v>211</v>
      </c>
      <c r="X31" s="9" t="s">
        <v>116</v>
      </c>
      <c r="Y31" s="9" t="s">
        <v>212</v>
      </c>
      <c r="Z31" s="9" t="s">
        <v>213</v>
      </c>
      <c r="AA31" s="9" t="s">
        <v>145</v>
      </c>
      <c r="AB31" s="9" t="s">
        <v>122</v>
      </c>
      <c r="AC31" s="9" t="s">
        <v>146</v>
      </c>
      <c r="AD31" s="9" t="s">
        <v>215</v>
      </c>
      <c r="AE31" s="9" t="s">
        <v>122</v>
      </c>
      <c r="AF31" s="9" t="s">
        <v>122</v>
      </c>
      <c r="AG31" s="9" t="s">
        <v>109</v>
      </c>
      <c r="AH31" s="9" t="s">
        <v>122</v>
      </c>
      <c r="AI31" s="9" t="s">
        <v>109</v>
      </c>
      <c r="AJ31" s="9" t="s">
        <v>109</v>
      </c>
      <c r="AK31" s="9" t="s">
        <v>666</v>
      </c>
      <c r="AL31" s="9" t="s">
        <v>667</v>
      </c>
      <c r="AM31" s="9" t="s">
        <v>668</v>
      </c>
      <c r="AN31" s="9" t="s">
        <v>669</v>
      </c>
      <c r="AO31" s="9" t="s">
        <v>652</v>
      </c>
      <c r="AP31" s="9" t="s">
        <v>670</v>
      </c>
      <c r="AQ31" s="9" t="s">
        <v>671</v>
      </c>
      <c r="AR31" s="10" t="s">
        <v>281</v>
      </c>
      <c r="AS31" s="10" t="n">
        <v>8</v>
      </c>
      <c r="AT31" s="10" t="n">
        <v>9</v>
      </c>
      <c r="AU31" s="10" t="n">
        <v>9</v>
      </c>
      <c r="AV31" s="10" t="n">
        <v>9</v>
      </c>
      <c r="AW31" s="10" t="n">
        <v>7</v>
      </c>
      <c r="AX31" s="9" t="s">
        <v>672</v>
      </c>
    </row>
    <row r="32" customFormat="false" ht="60" hidden="false" customHeight="true" outlineLevel="0" collapsed="false">
      <c r="A32" s="9" t="s">
        <v>673</v>
      </c>
      <c r="B32" s="9" t="s">
        <v>674</v>
      </c>
      <c r="C32" s="9" t="s">
        <v>40</v>
      </c>
      <c r="D32" s="9" t="s">
        <v>675</v>
      </c>
      <c r="E32" s="9" t="s">
        <v>676</v>
      </c>
      <c r="F32" s="9" t="s">
        <v>677</v>
      </c>
      <c r="G32" s="9" t="s">
        <v>678</v>
      </c>
      <c r="H32" s="9" t="s">
        <v>7</v>
      </c>
      <c r="I32" s="9" t="s">
        <v>102</v>
      </c>
      <c r="J32" s="9" t="s">
        <v>28</v>
      </c>
      <c r="K32" s="9" t="s">
        <v>138</v>
      </c>
      <c r="L32" s="9" t="s">
        <v>139</v>
      </c>
      <c r="M32" s="9" t="s">
        <v>679</v>
      </c>
      <c r="N32" s="9" t="s">
        <v>680</v>
      </c>
      <c r="O32" s="9" t="s">
        <v>681</v>
      </c>
      <c r="P32" s="9" t="s">
        <v>682</v>
      </c>
      <c r="Q32" s="9" t="s">
        <v>109</v>
      </c>
      <c r="R32" s="9" t="s">
        <v>144</v>
      </c>
      <c r="S32" s="9" t="s">
        <v>111</v>
      </c>
      <c r="T32" s="9" t="s">
        <v>112</v>
      </c>
      <c r="U32" s="9" t="s">
        <v>113</v>
      </c>
      <c r="V32" s="9" t="s">
        <v>114</v>
      </c>
      <c r="W32" s="9" t="s">
        <v>115</v>
      </c>
      <c r="X32" s="9" t="s">
        <v>116</v>
      </c>
      <c r="Y32" s="9" t="s">
        <v>117</v>
      </c>
      <c r="Z32" s="9" t="s">
        <v>118</v>
      </c>
      <c r="AA32" s="9" t="s">
        <v>145</v>
      </c>
      <c r="AB32" s="9" t="s">
        <v>122</v>
      </c>
      <c r="AC32" s="9" t="s">
        <v>146</v>
      </c>
      <c r="AD32" s="9" t="s">
        <v>121</v>
      </c>
      <c r="AE32" s="9" t="s">
        <v>122</v>
      </c>
      <c r="AF32" s="9" t="s">
        <v>122</v>
      </c>
      <c r="AG32" s="9" t="s">
        <v>109</v>
      </c>
      <c r="AH32" s="9" t="s">
        <v>122</v>
      </c>
      <c r="AI32" s="9" t="s">
        <v>109</v>
      </c>
      <c r="AJ32" s="9" t="s">
        <v>109</v>
      </c>
      <c r="AK32" s="9" t="s">
        <v>683</v>
      </c>
      <c r="AL32" s="9" t="s">
        <v>684</v>
      </c>
      <c r="AM32" s="9" t="s">
        <v>685</v>
      </c>
      <c r="AN32" s="9" t="s">
        <v>686</v>
      </c>
      <c r="AO32" s="9" t="s">
        <v>652</v>
      </c>
      <c r="AP32" s="9" t="s">
        <v>687</v>
      </c>
      <c r="AQ32" s="9" t="s">
        <v>688</v>
      </c>
      <c r="AR32" s="10" t="s">
        <v>130</v>
      </c>
      <c r="AS32" s="10" t="n">
        <v>6</v>
      </c>
      <c r="AT32" s="10" t="n">
        <v>5</v>
      </c>
      <c r="AU32" s="10" t="n">
        <v>5</v>
      </c>
      <c r="AV32" s="10" t="n">
        <v>2</v>
      </c>
      <c r="AW32" s="10" t="n">
        <v>2</v>
      </c>
      <c r="AX32" s="9" t="s">
        <v>689</v>
      </c>
    </row>
    <row r="33" customFormat="false" ht="60" hidden="false" customHeight="true" outlineLevel="0" collapsed="false">
      <c r="A33" s="9" t="s">
        <v>690</v>
      </c>
      <c r="B33" s="9" t="s">
        <v>691</v>
      </c>
      <c r="C33" s="9" t="s">
        <v>40</v>
      </c>
      <c r="D33" s="9" t="s">
        <v>692</v>
      </c>
      <c r="E33" s="9" t="s">
        <v>693</v>
      </c>
      <c r="F33" s="9" t="s">
        <v>694</v>
      </c>
      <c r="G33" s="9" t="s">
        <v>695</v>
      </c>
      <c r="H33" s="9" t="s">
        <v>7</v>
      </c>
      <c r="I33" s="9" t="s">
        <v>102</v>
      </c>
      <c r="J33" s="9" t="s">
        <v>28</v>
      </c>
      <c r="K33" s="9" t="s">
        <v>138</v>
      </c>
      <c r="L33" s="9" t="s">
        <v>139</v>
      </c>
      <c r="M33" s="9" t="s">
        <v>696</v>
      </c>
      <c r="N33" s="9" t="s">
        <v>697</v>
      </c>
      <c r="O33" s="9" t="s">
        <v>698</v>
      </c>
      <c r="P33" s="9" t="s">
        <v>699</v>
      </c>
      <c r="Q33" s="9" t="s">
        <v>122</v>
      </c>
      <c r="R33" s="9" t="s">
        <v>144</v>
      </c>
      <c r="S33" s="9" t="s">
        <v>111</v>
      </c>
      <c r="T33" s="9" t="s">
        <v>112</v>
      </c>
      <c r="U33" s="9" t="s">
        <v>113</v>
      </c>
      <c r="V33" s="9" t="s">
        <v>114</v>
      </c>
      <c r="W33" s="9" t="s">
        <v>115</v>
      </c>
      <c r="X33" s="9" t="s">
        <v>116</v>
      </c>
      <c r="Y33" s="9" t="s">
        <v>117</v>
      </c>
      <c r="Z33" s="9" t="s">
        <v>118</v>
      </c>
      <c r="AA33" s="9" t="s">
        <v>145</v>
      </c>
      <c r="AB33" s="9" t="s">
        <v>122</v>
      </c>
      <c r="AC33" s="9" t="s">
        <v>146</v>
      </c>
      <c r="AD33" s="9" t="s">
        <v>121</v>
      </c>
      <c r="AE33" s="9" t="s">
        <v>122</v>
      </c>
      <c r="AF33" s="9" t="s">
        <v>122</v>
      </c>
      <c r="AG33" s="9" t="s">
        <v>109</v>
      </c>
      <c r="AH33" s="9" t="s">
        <v>122</v>
      </c>
      <c r="AI33" s="9" t="s">
        <v>109</v>
      </c>
      <c r="AJ33" s="9" t="s">
        <v>109</v>
      </c>
      <c r="AK33" s="9" t="s">
        <v>700</v>
      </c>
      <c r="AL33" s="9" t="s">
        <v>701</v>
      </c>
      <c r="AM33" s="9" t="s">
        <v>702</v>
      </c>
      <c r="AN33" s="9" t="s">
        <v>703</v>
      </c>
      <c r="AO33" s="9" t="s">
        <v>652</v>
      </c>
      <c r="AP33" s="9" t="s">
        <v>704</v>
      </c>
      <c r="AQ33" s="9" t="s">
        <v>705</v>
      </c>
      <c r="AR33" s="10" t="s">
        <v>130</v>
      </c>
      <c r="AS33" s="10" t="n">
        <v>5</v>
      </c>
      <c r="AT33" s="10" t="n">
        <v>4</v>
      </c>
      <c r="AU33" s="10" t="n">
        <v>3</v>
      </c>
      <c r="AV33" s="10" t="n">
        <v>2</v>
      </c>
      <c r="AW33" s="10" t="n">
        <v>3</v>
      </c>
      <c r="AX33" s="9" t="s">
        <v>706</v>
      </c>
    </row>
    <row r="34" customFormat="false" ht="60" hidden="false" customHeight="true" outlineLevel="0" collapsed="false">
      <c r="A34" s="9" t="s">
        <v>707</v>
      </c>
      <c r="B34" s="9" t="s">
        <v>708</v>
      </c>
      <c r="C34" s="9" t="s">
        <v>15</v>
      </c>
      <c r="D34" s="9" t="s">
        <v>709</v>
      </c>
      <c r="E34" s="9" t="s">
        <v>710</v>
      </c>
      <c r="F34" s="9" t="s">
        <v>711</v>
      </c>
      <c r="G34" s="9" t="s">
        <v>712</v>
      </c>
      <c r="H34" s="9" t="s">
        <v>9</v>
      </c>
      <c r="I34" s="9" t="s">
        <v>160</v>
      </c>
      <c r="J34" s="9" t="s">
        <v>22</v>
      </c>
      <c r="K34" s="9" t="s">
        <v>376</v>
      </c>
      <c r="L34" s="9" t="s">
        <v>377</v>
      </c>
      <c r="M34" s="9" t="s">
        <v>713</v>
      </c>
      <c r="N34" s="9" t="s">
        <v>714</v>
      </c>
      <c r="O34" s="9" t="s">
        <v>715</v>
      </c>
      <c r="P34" s="9" t="s">
        <v>716</v>
      </c>
      <c r="Q34" s="9" t="s">
        <v>109</v>
      </c>
      <c r="R34" s="9" t="s">
        <v>717</v>
      </c>
      <c r="S34" s="9" t="s">
        <v>168</v>
      </c>
      <c r="T34" s="9" t="s">
        <v>169</v>
      </c>
      <c r="U34" s="9" t="s">
        <v>113</v>
      </c>
      <c r="V34" s="9" t="s">
        <v>114</v>
      </c>
      <c r="W34" s="9" t="s">
        <v>115</v>
      </c>
      <c r="X34" s="9" t="s">
        <v>116</v>
      </c>
      <c r="Y34" s="9" t="s">
        <v>117</v>
      </c>
      <c r="Z34" s="9" t="s">
        <v>118</v>
      </c>
      <c r="AA34" s="9" t="s">
        <v>119</v>
      </c>
      <c r="AB34" s="9" t="s">
        <v>109</v>
      </c>
      <c r="AC34" s="9" t="s">
        <v>383</v>
      </c>
      <c r="AD34" s="9" t="s">
        <v>121</v>
      </c>
      <c r="AE34" s="9" t="s">
        <v>122</v>
      </c>
      <c r="AF34" s="9" t="s">
        <v>122</v>
      </c>
      <c r="AG34" s="9" t="s">
        <v>122</v>
      </c>
      <c r="AH34" s="9" t="s">
        <v>122</v>
      </c>
      <c r="AI34" s="9" t="s">
        <v>122</v>
      </c>
      <c r="AJ34" s="9" t="s">
        <v>109</v>
      </c>
      <c r="AK34" s="9" t="s">
        <v>718</v>
      </c>
      <c r="AL34" s="9" t="s">
        <v>719</v>
      </c>
      <c r="AM34" s="9" t="s">
        <v>720</v>
      </c>
      <c r="AN34" s="9" t="s">
        <v>721</v>
      </c>
      <c r="AO34" s="9" t="s">
        <v>722</v>
      </c>
      <c r="AP34" s="9" t="s">
        <v>367</v>
      </c>
      <c r="AQ34" s="9" t="s">
        <v>723</v>
      </c>
      <c r="AR34" s="10" t="s">
        <v>177</v>
      </c>
      <c r="AS34" s="10" t="n">
        <v>6</v>
      </c>
      <c r="AT34" s="10" t="n">
        <v>5</v>
      </c>
      <c r="AU34" s="10" t="n">
        <v>7</v>
      </c>
      <c r="AV34" s="10" t="n">
        <v>6</v>
      </c>
      <c r="AW34" s="10" t="n">
        <v>4</v>
      </c>
      <c r="AX34" s="9" t="s">
        <v>724</v>
      </c>
    </row>
    <row r="35" customFormat="false" ht="60" hidden="false" customHeight="true" outlineLevel="0" collapsed="false">
      <c r="A35" s="9" t="s">
        <v>725</v>
      </c>
      <c r="B35" s="9" t="s">
        <v>726</v>
      </c>
      <c r="C35" s="9" t="s">
        <v>15</v>
      </c>
      <c r="D35" s="9" t="s">
        <v>727</v>
      </c>
      <c r="E35" s="9" t="s">
        <v>728</v>
      </c>
      <c r="F35" s="9" t="s">
        <v>729</v>
      </c>
      <c r="G35" s="9" t="s">
        <v>730</v>
      </c>
      <c r="H35" s="9" t="s">
        <v>9</v>
      </c>
      <c r="I35" s="9" t="s">
        <v>160</v>
      </c>
      <c r="J35" s="9" t="s">
        <v>28</v>
      </c>
      <c r="K35" s="9" t="s">
        <v>138</v>
      </c>
      <c r="L35" s="9" t="s">
        <v>139</v>
      </c>
      <c r="M35" s="9" t="s">
        <v>731</v>
      </c>
      <c r="N35" s="9" t="s">
        <v>732</v>
      </c>
      <c r="O35" s="9" t="s">
        <v>733</v>
      </c>
      <c r="P35" s="9" t="s">
        <v>420</v>
      </c>
      <c r="Q35" s="9" t="s">
        <v>122</v>
      </c>
      <c r="R35" s="9" t="s">
        <v>144</v>
      </c>
      <c r="S35" s="9" t="s">
        <v>168</v>
      </c>
      <c r="T35" s="9" t="s">
        <v>169</v>
      </c>
      <c r="U35" s="9" t="s">
        <v>113</v>
      </c>
      <c r="V35" s="9" t="s">
        <v>114</v>
      </c>
      <c r="W35" s="9" t="s">
        <v>115</v>
      </c>
      <c r="X35" s="9" t="s">
        <v>116</v>
      </c>
      <c r="Y35" s="9" t="s">
        <v>117</v>
      </c>
      <c r="Z35" s="9" t="s">
        <v>118</v>
      </c>
      <c r="AA35" s="9" t="s">
        <v>145</v>
      </c>
      <c r="AB35" s="9" t="s">
        <v>122</v>
      </c>
      <c r="AC35" s="9" t="s">
        <v>146</v>
      </c>
      <c r="AD35" s="9" t="s">
        <v>121</v>
      </c>
      <c r="AE35" s="9" t="s">
        <v>122</v>
      </c>
      <c r="AF35" s="9" t="s">
        <v>122</v>
      </c>
      <c r="AG35" s="9" t="s">
        <v>109</v>
      </c>
      <c r="AH35" s="9" t="s">
        <v>122</v>
      </c>
      <c r="AI35" s="9" t="s">
        <v>109</v>
      </c>
      <c r="AJ35" s="9" t="s">
        <v>109</v>
      </c>
      <c r="AK35" s="9" t="s">
        <v>734</v>
      </c>
      <c r="AL35" s="9" t="s">
        <v>735</v>
      </c>
      <c r="AM35" s="9" t="s">
        <v>736</v>
      </c>
      <c r="AN35" s="9" t="s">
        <v>737</v>
      </c>
      <c r="AO35" s="9" t="s">
        <v>722</v>
      </c>
      <c r="AP35" s="9" t="s">
        <v>738</v>
      </c>
      <c r="AQ35" s="9" t="s">
        <v>739</v>
      </c>
      <c r="AR35" s="10" t="s">
        <v>177</v>
      </c>
      <c r="AS35" s="10" t="n">
        <v>7</v>
      </c>
      <c r="AT35" s="10" t="n">
        <v>6</v>
      </c>
      <c r="AU35" s="10" t="n">
        <v>5</v>
      </c>
      <c r="AV35" s="10" t="n">
        <v>5</v>
      </c>
      <c r="AW35" s="10" t="n">
        <v>3</v>
      </c>
      <c r="AX35" s="9" t="s">
        <v>740</v>
      </c>
    </row>
    <row r="36" customFormat="false" ht="60" hidden="false" customHeight="true" outlineLevel="0" collapsed="false">
      <c r="A36" s="9" t="s">
        <v>741</v>
      </c>
      <c r="B36" s="9" t="s">
        <v>742</v>
      </c>
      <c r="C36" s="9" t="s">
        <v>15</v>
      </c>
      <c r="D36" s="9" t="s">
        <v>743</v>
      </c>
      <c r="E36" s="9" t="s">
        <v>744</v>
      </c>
      <c r="F36" s="9" t="s">
        <v>745</v>
      </c>
      <c r="G36" s="9" t="s">
        <v>746</v>
      </c>
      <c r="H36" s="9" t="s">
        <v>11</v>
      </c>
      <c r="I36" s="9" t="s">
        <v>202</v>
      </c>
      <c r="J36" s="9" t="s">
        <v>28</v>
      </c>
      <c r="K36" s="9" t="s">
        <v>138</v>
      </c>
      <c r="L36" s="9" t="s">
        <v>139</v>
      </c>
      <c r="M36" s="9" t="s">
        <v>747</v>
      </c>
      <c r="N36" s="9" t="s">
        <v>748</v>
      </c>
      <c r="O36" s="9" t="s">
        <v>749</v>
      </c>
      <c r="P36" s="9" t="s">
        <v>750</v>
      </c>
      <c r="Q36" s="9" t="s">
        <v>109</v>
      </c>
      <c r="R36" s="9" t="s">
        <v>144</v>
      </c>
      <c r="S36" s="9" t="s">
        <v>209</v>
      </c>
      <c r="T36" s="9" t="s">
        <v>210</v>
      </c>
      <c r="U36" s="9" t="s">
        <v>113</v>
      </c>
      <c r="V36" s="9" t="s">
        <v>114</v>
      </c>
      <c r="W36" s="9" t="s">
        <v>211</v>
      </c>
      <c r="X36" s="9" t="s">
        <v>116</v>
      </c>
      <c r="Y36" s="9" t="s">
        <v>212</v>
      </c>
      <c r="Z36" s="9" t="s">
        <v>213</v>
      </c>
      <c r="AA36" s="9" t="s">
        <v>145</v>
      </c>
      <c r="AB36" s="9" t="s">
        <v>122</v>
      </c>
      <c r="AC36" s="9" t="s">
        <v>146</v>
      </c>
      <c r="AD36" s="9" t="s">
        <v>215</v>
      </c>
      <c r="AE36" s="9" t="s">
        <v>122</v>
      </c>
      <c r="AF36" s="9" t="s">
        <v>122</v>
      </c>
      <c r="AG36" s="9" t="s">
        <v>109</v>
      </c>
      <c r="AH36" s="9" t="s">
        <v>122</v>
      </c>
      <c r="AI36" s="9" t="s">
        <v>109</v>
      </c>
      <c r="AJ36" s="9" t="s">
        <v>109</v>
      </c>
      <c r="AK36" s="9" t="s">
        <v>751</v>
      </c>
      <c r="AL36" s="9" t="s">
        <v>752</v>
      </c>
      <c r="AM36" s="9" t="s">
        <v>753</v>
      </c>
      <c r="AN36" s="9" t="s">
        <v>754</v>
      </c>
      <c r="AO36" s="9" t="s">
        <v>722</v>
      </c>
      <c r="AP36" s="9" t="s">
        <v>755</v>
      </c>
      <c r="AQ36" s="9" t="s">
        <v>756</v>
      </c>
      <c r="AR36" s="10" t="s">
        <v>223</v>
      </c>
      <c r="AS36" s="10" t="n">
        <v>9</v>
      </c>
      <c r="AT36" s="10" t="n">
        <v>7</v>
      </c>
      <c r="AU36" s="10" t="n">
        <v>6</v>
      </c>
      <c r="AV36" s="10" t="n">
        <v>6</v>
      </c>
      <c r="AW36" s="10" t="n">
        <v>6</v>
      </c>
      <c r="AX36" s="9" t="s">
        <v>757</v>
      </c>
    </row>
    <row r="37" customFormat="false" ht="60" hidden="false" customHeight="true" outlineLevel="0" collapsed="false">
      <c r="A37" s="9" t="s">
        <v>758</v>
      </c>
      <c r="B37" s="9" t="s">
        <v>759</v>
      </c>
      <c r="C37" s="9" t="s">
        <v>15</v>
      </c>
      <c r="D37" s="9" t="s">
        <v>760</v>
      </c>
      <c r="E37" s="9" t="s">
        <v>761</v>
      </c>
      <c r="F37" s="9" t="s">
        <v>762</v>
      </c>
      <c r="G37" s="9" t="s">
        <v>763</v>
      </c>
      <c r="H37" s="9" t="s">
        <v>11</v>
      </c>
      <c r="I37" s="9" t="s">
        <v>202</v>
      </c>
      <c r="J37" s="9" t="s">
        <v>28</v>
      </c>
      <c r="K37" s="9" t="s">
        <v>138</v>
      </c>
      <c r="L37" s="9" t="s">
        <v>139</v>
      </c>
      <c r="M37" s="9" t="s">
        <v>764</v>
      </c>
      <c r="N37" s="9" t="s">
        <v>765</v>
      </c>
      <c r="O37" s="9" t="s">
        <v>766</v>
      </c>
      <c r="P37" s="9" t="s">
        <v>767</v>
      </c>
      <c r="Q37" s="9" t="s">
        <v>122</v>
      </c>
      <c r="R37" s="9" t="s">
        <v>144</v>
      </c>
      <c r="S37" s="9" t="s">
        <v>209</v>
      </c>
      <c r="T37" s="9" t="s">
        <v>210</v>
      </c>
      <c r="U37" s="9" t="s">
        <v>113</v>
      </c>
      <c r="V37" s="9" t="s">
        <v>114</v>
      </c>
      <c r="W37" s="9" t="s">
        <v>211</v>
      </c>
      <c r="X37" s="9" t="s">
        <v>116</v>
      </c>
      <c r="Y37" s="9" t="s">
        <v>212</v>
      </c>
      <c r="Z37" s="9" t="s">
        <v>213</v>
      </c>
      <c r="AA37" s="9" t="s">
        <v>145</v>
      </c>
      <c r="AB37" s="9" t="s">
        <v>122</v>
      </c>
      <c r="AC37" s="9" t="s">
        <v>146</v>
      </c>
      <c r="AD37" s="9" t="s">
        <v>215</v>
      </c>
      <c r="AE37" s="9" t="s">
        <v>122</v>
      </c>
      <c r="AF37" s="9" t="s">
        <v>122</v>
      </c>
      <c r="AG37" s="9" t="s">
        <v>109</v>
      </c>
      <c r="AH37" s="9" t="s">
        <v>122</v>
      </c>
      <c r="AI37" s="9" t="s">
        <v>109</v>
      </c>
      <c r="AJ37" s="9" t="s">
        <v>109</v>
      </c>
      <c r="AK37" s="9" t="s">
        <v>768</v>
      </c>
      <c r="AL37" s="9" t="s">
        <v>769</v>
      </c>
      <c r="AM37" s="9" t="s">
        <v>770</v>
      </c>
      <c r="AN37" s="9" t="s">
        <v>771</v>
      </c>
      <c r="AO37" s="9" t="s">
        <v>722</v>
      </c>
      <c r="AP37" s="9" t="s">
        <v>772</v>
      </c>
      <c r="AQ37" s="9" t="s">
        <v>773</v>
      </c>
      <c r="AR37" s="10" t="s">
        <v>223</v>
      </c>
      <c r="AS37" s="10" t="n">
        <v>8</v>
      </c>
      <c r="AT37" s="10" t="n">
        <v>8</v>
      </c>
      <c r="AU37" s="10" t="n">
        <v>6</v>
      </c>
      <c r="AV37" s="10" t="n">
        <v>7</v>
      </c>
      <c r="AW37" s="10" t="n">
        <v>7</v>
      </c>
      <c r="AX37" s="9" t="s">
        <v>774</v>
      </c>
    </row>
    <row r="38" customFormat="false" ht="60" hidden="false" customHeight="true" outlineLevel="0" collapsed="false">
      <c r="A38" s="9" t="s">
        <v>775</v>
      </c>
      <c r="B38" s="9" t="s">
        <v>776</v>
      </c>
      <c r="C38" s="9" t="s">
        <v>18</v>
      </c>
      <c r="D38" s="9" t="s">
        <v>777</v>
      </c>
      <c r="E38" s="9" t="s">
        <v>778</v>
      </c>
      <c r="F38" s="9" t="s">
        <v>779</v>
      </c>
      <c r="G38" s="9" t="s">
        <v>780</v>
      </c>
      <c r="H38" s="9" t="s">
        <v>11</v>
      </c>
      <c r="I38" s="9" t="s">
        <v>202</v>
      </c>
      <c r="J38" s="9" t="s">
        <v>30</v>
      </c>
      <c r="K38" s="9" t="s">
        <v>103</v>
      </c>
      <c r="L38" s="9" t="s">
        <v>104</v>
      </c>
      <c r="M38" s="9" t="s">
        <v>781</v>
      </c>
      <c r="N38" s="9" t="s">
        <v>782</v>
      </c>
      <c r="O38" s="9" t="s">
        <v>783</v>
      </c>
      <c r="P38" s="9" t="s">
        <v>784</v>
      </c>
      <c r="Q38" s="9" t="s">
        <v>235</v>
      </c>
      <c r="R38" s="9" t="s">
        <v>110</v>
      </c>
      <c r="S38" s="9" t="s">
        <v>209</v>
      </c>
      <c r="T38" s="9" t="s">
        <v>210</v>
      </c>
      <c r="U38" s="9" t="s">
        <v>113</v>
      </c>
      <c r="V38" s="9" t="s">
        <v>114</v>
      </c>
      <c r="W38" s="9" t="s">
        <v>211</v>
      </c>
      <c r="X38" s="9" t="s">
        <v>116</v>
      </c>
      <c r="Y38" s="9" t="s">
        <v>212</v>
      </c>
      <c r="Z38" s="9" t="s">
        <v>213</v>
      </c>
      <c r="AA38" s="9" t="s">
        <v>119</v>
      </c>
      <c r="AB38" s="9" t="s">
        <v>109</v>
      </c>
      <c r="AC38" s="9" t="s">
        <v>120</v>
      </c>
      <c r="AD38" s="9" t="s">
        <v>215</v>
      </c>
      <c r="AE38" s="9" t="s">
        <v>109</v>
      </c>
      <c r="AF38" s="9" t="s">
        <v>122</v>
      </c>
      <c r="AG38" s="9" t="s">
        <v>122</v>
      </c>
      <c r="AH38" s="9" t="s">
        <v>122</v>
      </c>
      <c r="AI38" s="9" t="s">
        <v>109</v>
      </c>
      <c r="AJ38" s="9" t="s">
        <v>109</v>
      </c>
      <c r="AK38" s="9" t="s">
        <v>785</v>
      </c>
      <c r="AL38" s="9" t="s">
        <v>786</v>
      </c>
      <c r="AM38" s="9" t="s">
        <v>787</v>
      </c>
      <c r="AN38" s="9" t="s">
        <v>788</v>
      </c>
      <c r="AO38" s="9" t="s">
        <v>789</v>
      </c>
      <c r="AP38" s="9" t="s">
        <v>790</v>
      </c>
      <c r="AQ38" s="9" t="s">
        <v>791</v>
      </c>
      <c r="AR38" s="10" t="s">
        <v>223</v>
      </c>
      <c r="AS38" s="10" t="n">
        <v>7</v>
      </c>
      <c r="AT38" s="10" t="n">
        <v>9</v>
      </c>
      <c r="AU38" s="10" t="n">
        <v>8</v>
      </c>
      <c r="AV38" s="10" t="n">
        <v>7</v>
      </c>
      <c r="AW38" s="10" t="n">
        <v>7</v>
      </c>
      <c r="AX38" s="9" t="s">
        <v>792</v>
      </c>
    </row>
    <row r="39" customFormat="false" ht="60" hidden="false" customHeight="true" outlineLevel="0" collapsed="false">
      <c r="A39" s="9" t="s">
        <v>793</v>
      </c>
      <c r="B39" s="9" t="s">
        <v>794</v>
      </c>
      <c r="C39" s="9" t="s">
        <v>18</v>
      </c>
      <c r="D39" s="9" t="s">
        <v>795</v>
      </c>
      <c r="E39" s="9" t="s">
        <v>796</v>
      </c>
      <c r="F39" s="9" t="s">
        <v>797</v>
      </c>
      <c r="G39" s="9" t="s">
        <v>798</v>
      </c>
      <c r="H39" s="9" t="s">
        <v>13</v>
      </c>
      <c r="I39" s="9" t="s">
        <v>267</v>
      </c>
      <c r="J39" s="9" t="s">
        <v>28</v>
      </c>
      <c r="K39" s="9" t="s">
        <v>138</v>
      </c>
      <c r="L39" s="9" t="s">
        <v>139</v>
      </c>
      <c r="M39" s="9" t="s">
        <v>799</v>
      </c>
      <c r="N39" s="9" t="s">
        <v>800</v>
      </c>
      <c r="O39" s="9" t="s">
        <v>801</v>
      </c>
      <c r="P39" s="9" t="s">
        <v>802</v>
      </c>
      <c r="Q39" s="9" t="s">
        <v>122</v>
      </c>
      <c r="R39" s="9" t="s">
        <v>144</v>
      </c>
      <c r="S39" s="9" t="s">
        <v>272</v>
      </c>
      <c r="T39" s="9" t="s">
        <v>273</v>
      </c>
      <c r="U39" s="9" t="s">
        <v>113</v>
      </c>
      <c r="V39" s="9" t="s">
        <v>274</v>
      </c>
      <c r="W39" s="9" t="s">
        <v>211</v>
      </c>
      <c r="X39" s="9" t="s">
        <v>116</v>
      </c>
      <c r="Y39" s="9" t="s">
        <v>212</v>
      </c>
      <c r="Z39" s="9" t="s">
        <v>213</v>
      </c>
      <c r="AA39" s="9" t="s">
        <v>145</v>
      </c>
      <c r="AB39" s="9" t="s">
        <v>122</v>
      </c>
      <c r="AC39" s="9" t="s">
        <v>146</v>
      </c>
      <c r="AD39" s="9" t="s">
        <v>215</v>
      </c>
      <c r="AE39" s="9" t="s">
        <v>122</v>
      </c>
      <c r="AF39" s="9" t="s">
        <v>122</v>
      </c>
      <c r="AG39" s="9" t="s">
        <v>109</v>
      </c>
      <c r="AH39" s="9" t="s">
        <v>122</v>
      </c>
      <c r="AI39" s="9" t="s">
        <v>109</v>
      </c>
      <c r="AJ39" s="9" t="s">
        <v>109</v>
      </c>
      <c r="AK39" s="9" t="s">
        <v>803</v>
      </c>
      <c r="AL39" s="9" t="s">
        <v>804</v>
      </c>
      <c r="AM39" s="9" t="s">
        <v>805</v>
      </c>
      <c r="AN39" s="9" t="s">
        <v>806</v>
      </c>
      <c r="AO39" s="9" t="s">
        <v>789</v>
      </c>
      <c r="AP39" s="9" t="s">
        <v>807</v>
      </c>
      <c r="AQ39" s="9" t="s">
        <v>808</v>
      </c>
      <c r="AR39" s="10" t="s">
        <v>281</v>
      </c>
      <c r="AS39" s="10" t="n">
        <v>10</v>
      </c>
      <c r="AT39" s="10" t="n">
        <v>7</v>
      </c>
      <c r="AU39" s="10" t="n">
        <v>7</v>
      </c>
      <c r="AV39" s="10" t="n">
        <v>9</v>
      </c>
      <c r="AW39" s="10" t="n">
        <v>7</v>
      </c>
      <c r="AX39" s="9" t="s">
        <v>809</v>
      </c>
    </row>
    <row r="40" customFormat="false" ht="60" hidden="false" customHeight="true" outlineLevel="0" collapsed="false">
      <c r="A40" s="9" t="s">
        <v>810</v>
      </c>
      <c r="B40" s="9" t="s">
        <v>811</v>
      </c>
      <c r="C40" s="9" t="s">
        <v>18</v>
      </c>
      <c r="D40" s="9" t="s">
        <v>812</v>
      </c>
      <c r="E40" s="9" t="s">
        <v>813</v>
      </c>
      <c r="F40" s="9" t="s">
        <v>814</v>
      </c>
      <c r="G40" s="9" t="s">
        <v>815</v>
      </c>
      <c r="H40" s="9" t="s">
        <v>13</v>
      </c>
      <c r="I40" s="9" t="s">
        <v>267</v>
      </c>
      <c r="J40" s="9" t="s">
        <v>30</v>
      </c>
      <c r="K40" s="9" t="s">
        <v>103</v>
      </c>
      <c r="L40" s="9" t="s">
        <v>104</v>
      </c>
      <c r="M40" s="9" t="s">
        <v>816</v>
      </c>
      <c r="N40" s="9" t="s">
        <v>817</v>
      </c>
      <c r="O40" s="9" t="s">
        <v>818</v>
      </c>
      <c r="P40" s="9" t="s">
        <v>819</v>
      </c>
      <c r="Q40" s="9" t="s">
        <v>122</v>
      </c>
      <c r="R40" s="9" t="s">
        <v>110</v>
      </c>
      <c r="S40" s="9" t="s">
        <v>272</v>
      </c>
      <c r="T40" s="9" t="s">
        <v>273</v>
      </c>
      <c r="U40" s="9" t="s">
        <v>113</v>
      </c>
      <c r="V40" s="9" t="s">
        <v>274</v>
      </c>
      <c r="W40" s="9" t="s">
        <v>211</v>
      </c>
      <c r="X40" s="9" t="s">
        <v>116</v>
      </c>
      <c r="Y40" s="9" t="s">
        <v>212</v>
      </c>
      <c r="Z40" s="9" t="s">
        <v>213</v>
      </c>
      <c r="AA40" s="9" t="s">
        <v>119</v>
      </c>
      <c r="AB40" s="9" t="s">
        <v>109</v>
      </c>
      <c r="AC40" s="9" t="s">
        <v>120</v>
      </c>
      <c r="AD40" s="9" t="s">
        <v>215</v>
      </c>
      <c r="AE40" s="9" t="s">
        <v>109</v>
      </c>
      <c r="AF40" s="9" t="s">
        <v>122</v>
      </c>
      <c r="AG40" s="9" t="s">
        <v>122</v>
      </c>
      <c r="AH40" s="9" t="s">
        <v>122</v>
      </c>
      <c r="AI40" s="9" t="s">
        <v>109</v>
      </c>
      <c r="AJ40" s="9" t="s">
        <v>109</v>
      </c>
      <c r="AK40" s="9" t="s">
        <v>820</v>
      </c>
      <c r="AL40" s="9" t="s">
        <v>821</v>
      </c>
      <c r="AM40" s="9" t="s">
        <v>822</v>
      </c>
      <c r="AN40" s="9" t="s">
        <v>823</v>
      </c>
      <c r="AO40" s="9" t="s">
        <v>789</v>
      </c>
      <c r="AP40" s="9" t="s">
        <v>824</v>
      </c>
      <c r="AQ40" s="9" t="s">
        <v>825</v>
      </c>
      <c r="AR40" s="10" t="s">
        <v>281</v>
      </c>
      <c r="AS40" s="10" t="n">
        <v>9</v>
      </c>
      <c r="AT40" s="10" t="n">
        <v>9</v>
      </c>
      <c r="AU40" s="10" t="n">
        <v>8</v>
      </c>
      <c r="AV40" s="10" t="n">
        <v>10</v>
      </c>
      <c r="AW40" s="10" t="n">
        <v>7</v>
      </c>
      <c r="AX40" s="9" t="s">
        <v>826</v>
      </c>
    </row>
    <row r="41" customFormat="false" ht="60" hidden="false" customHeight="true" outlineLevel="0" collapsed="false">
      <c r="A41" s="9" t="s">
        <v>827</v>
      </c>
      <c r="B41" s="9" t="s">
        <v>828</v>
      </c>
      <c r="C41" s="9" t="s">
        <v>18</v>
      </c>
      <c r="D41" s="9" t="s">
        <v>829</v>
      </c>
      <c r="E41" s="9" t="s">
        <v>830</v>
      </c>
      <c r="F41" s="9" t="s">
        <v>831</v>
      </c>
      <c r="G41" s="9" t="s">
        <v>832</v>
      </c>
      <c r="H41" s="9" t="s">
        <v>13</v>
      </c>
      <c r="I41" s="9" t="s">
        <v>267</v>
      </c>
      <c r="J41" s="9" t="s">
        <v>28</v>
      </c>
      <c r="K41" s="9" t="s">
        <v>138</v>
      </c>
      <c r="L41" s="9" t="s">
        <v>139</v>
      </c>
      <c r="M41" s="9" t="s">
        <v>833</v>
      </c>
      <c r="N41" s="9" t="s">
        <v>834</v>
      </c>
      <c r="O41" s="9" t="s">
        <v>835</v>
      </c>
      <c r="P41" s="9" t="s">
        <v>836</v>
      </c>
      <c r="Q41" s="9" t="s">
        <v>122</v>
      </c>
      <c r="R41" s="9" t="s">
        <v>144</v>
      </c>
      <c r="S41" s="9" t="s">
        <v>272</v>
      </c>
      <c r="T41" s="9" t="s">
        <v>273</v>
      </c>
      <c r="U41" s="9" t="s">
        <v>113</v>
      </c>
      <c r="V41" s="9" t="s">
        <v>274</v>
      </c>
      <c r="W41" s="9" t="s">
        <v>211</v>
      </c>
      <c r="X41" s="9" t="s">
        <v>116</v>
      </c>
      <c r="Y41" s="9" t="s">
        <v>212</v>
      </c>
      <c r="Z41" s="9" t="s">
        <v>213</v>
      </c>
      <c r="AA41" s="9" t="s">
        <v>145</v>
      </c>
      <c r="AB41" s="9" t="s">
        <v>122</v>
      </c>
      <c r="AC41" s="9" t="s">
        <v>146</v>
      </c>
      <c r="AD41" s="9" t="s">
        <v>215</v>
      </c>
      <c r="AE41" s="9" t="s">
        <v>122</v>
      </c>
      <c r="AF41" s="9" t="s">
        <v>122</v>
      </c>
      <c r="AG41" s="9" t="s">
        <v>109</v>
      </c>
      <c r="AH41" s="9" t="s">
        <v>122</v>
      </c>
      <c r="AI41" s="9" t="s">
        <v>109</v>
      </c>
      <c r="AJ41" s="9" t="s">
        <v>109</v>
      </c>
      <c r="AK41" s="9" t="s">
        <v>837</v>
      </c>
      <c r="AL41" s="9" t="s">
        <v>838</v>
      </c>
      <c r="AM41" s="9" t="s">
        <v>839</v>
      </c>
      <c r="AN41" s="9" t="s">
        <v>840</v>
      </c>
      <c r="AO41" s="9" t="s">
        <v>789</v>
      </c>
      <c r="AP41" s="9" t="s">
        <v>841</v>
      </c>
      <c r="AQ41" s="9" t="s">
        <v>842</v>
      </c>
      <c r="AR41" s="10" t="s">
        <v>281</v>
      </c>
      <c r="AS41" s="10" t="n">
        <v>8</v>
      </c>
      <c r="AT41" s="10" t="n">
        <v>8</v>
      </c>
      <c r="AU41" s="10" t="n">
        <v>7</v>
      </c>
      <c r="AV41" s="10" t="n">
        <v>10</v>
      </c>
      <c r="AW41" s="10" t="n">
        <v>8</v>
      </c>
      <c r="AX41" s="9" t="s">
        <v>843</v>
      </c>
    </row>
    <row r="42" customFormat="false" ht="60" hidden="false" customHeight="true" outlineLevel="0" collapsed="false">
      <c r="A42" s="9" t="s">
        <v>844</v>
      </c>
      <c r="B42" s="9" t="s">
        <v>845</v>
      </c>
      <c r="C42" s="9" t="s">
        <v>31</v>
      </c>
      <c r="D42" s="9" t="s">
        <v>846</v>
      </c>
      <c r="E42" s="9" t="s">
        <v>847</v>
      </c>
      <c r="F42" s="9" t="s">
        <v>848</v>
      </c>
      <c r="G42" s="9" t="s">
        <v>849</v>
      </c>
      <c r="H42" s="9" t="s">
        <v>7</v>
      </c>
      <c r="I42" s="9" t="s">
        <v>102</v>
      </c>
      <c r="J42" s="9" t="s">
        <v>30</v>
      </c>
      <c r="K42" s="9" t="s">
        <v>103</v>
      </c>
      <c r="L42" s="9" t="s">
        <v>203</v>
      </c>
      <c r="M42" s="9" t="s">
        <v>850</v>
      </c>
      <c r="N42" s="9" t="s">
        <v>851</v>
      </c>
      <c r="O42" s="9" t="s">
        <v>852</v>
      </c>
      <c r="P42" s="9" t="s">
        <v>853</v>
      </c>
      <c r="Q42" s="9" t="s">
        <v>109</v>
      </c>
      <c r="R42" s="9" t="s">
        <v>110</v>
      </c>
      <c r="S42" s="9" t="s">
        <v>111</v>
      </c>
      <c r="T42" s="9" t="s">
        <v>112</v>
      </c>
      <c r="U42" s="9" t="s">
        <v>113</v>
      </c>
      <c r="V42" s="9" t="s">
        <v>114</v>
      </c>
      <c r="W42" s="9" t="s">
        <v>115</v>
      </c>
      <c r="X42" s="9" t="s">
        <v>116</v>
      </c>
      <c r="Y42" s="9" t="s">
        <v>117</v>
      </c>
      <c r="Z42" s="9" t="s">
        <v>118</v>
      </c>
      <c r="AA42" s="9" t="s">
        <v>119</v>
      </c>
      <c r="AB42" s="9" t="s">
        <v>109</v>
      </c>
      <c r="AC42" s="9" t="s">
        <v>214</v>
      </c>
      <c r="AD42" s="9" t="s">
        <v>121</v>
      </c>
      <c r="AE42" s="9" t="s">
        <v>109</v>
      </c>
      <c r="AF42" s="9" t="s">
        <v>122</v>
      </c>
      <c r="AG42" s="9" t="s">
        <v>122</v>
      </c>
      <c r="AH42" s="9" t="s">
        <v>122</v>
      </c>
      <c r="AI42" s="9" t="s">
        <v>109</v>
      </c>
      <c r="AJ42" s="9" t="s">
        <v>109</v>
      </c>
      <c r="AK42" s="9" t="s">
        <v>854</v>
      </c>
      <c r="AL42" s="9" t="s">
        <v>855</v>
      </c>
      <c r="AM42" s="9" t="s">
        <v>856</v>
      </c>
      <c r="AN42" s="9" t="s">
        <v>857</v>
      </c>
      <c r="AO42" s="9" t="s">
        <v>858</v>
      </c>
      <c r="AP42" s="9" t="s">
        <v>859</v>
      </c>
      <c r="AQ42" s="9" t="s">
        <v>860</v>
      </c>
      <c r="AR42" s="10" t="s">
        <v>130</v>
      </c>
      <c r="AS42" s="10" t="n">
        <v>6</v>
      </c>
      <c r="AT42" s="10" t="n">
        <v>5</v>
      </c>
      <c r="AU42" s="10" t="n">
        <v>5</v>
      </c>
      <c r="AV42" s="10" t="n">
        <v>2</v>
      </c>
      <c r="AW42" s="10" t="n">
        <v>3</v>
      </c>
      <c r="AX42" s="9" t="s">
        <v>861</v>
      </c>
    </row>
    <row r="43" customFormat="false" ht="60" hidden="false" customHeight="true" outlineLevel="0" collapsed="false">
      <c r="A43" s="9" t="s">
        <v>862</v>
      </c>
      <c r="B43" s="9" t="s">
        <v>863</v>
      </c>
      <c r="C43" s="9" t="s">
        <v>31</v>
      </c>
      <c r="D43" s="9" t="s">
        <v>864</v>
      </c>
      <c r="E43" s="9" t="s">
        <v>865</v>
      </c>
      <c r="F43" s="9" t="s">
        <v>866</v>
      </c>
      <c r="G43" s="9" t="s">
        <v>867</v>
      </c>
      <c r="H43" s="9" t="s">
        <v>7</v>
      </c>
      <c r="I43" s="9" t="s">
        <v>102</v>
      </c>
      <c r="J43" s="9" t="s">
        <v>28</v>
      </c>
      <c r="K43" s="9" t="s">
        <v>138</v>
      </c>
      <c r="L43" s="9" t="s">
        <v>139</v>
      </c>
      <c r="M43" s="9" t="s">
        <v>868</v>
      </c>
      <c r="N43" s="9" t="s">
        <v>869</v>
      </c>
      <c r="O43" s="9" t="s">
        <v>870</v>
      </c>
      <c r="P43" s="9" t="s">
        <v>871</v>
      </c>
      <c r="Q43" s="9" t="s">
        <v>122</v>
      </c>
      <c r="R43" s="9" t="s">
        <v>144</v>
      </c>
      <c r="S43" s="9" t="s">
        <v>111</v>
      </c>
      <c r="T43" s="9" t="s">
        <v>112</v>
      </c>
      <c r="U43" s="9" t="s">
        <v>113</v>
      </c>
      <c r="V43" s="9" t="s">
        <v>114</v>
      </c>
      <c r="W43" s="9" t="s">
        <v>115</v>
      </c>
      <c r="X43" s="9" t="s">
        <v>116</v>
      </c>
      <c r="Y43" s="9" t="s">
        <v>117</v>
      </c>
      <c r="Z43" s="9" t="s">
        <v>118</v>
      </c>
      <c r="AA43" s="9" t="s">
        <v>145</v>
      </c>
      <c r="AB43" s="9" t="s">
        <v>122</v>
      </c>
      <c r="AC43" s="9" t="s">
        <v>146</v>
      </c>
      <c r="AD43" s="9" t="s">
        <v>121</v>
      </c>
      <c r="AE43" s="9" t="s">
        <v>122</v>
      </c>
      <c r="AF43" s="9" t="s">
        <v>122</v>
      </c>
      <c r="AG43" s="9" t="s">
        <v>109</v>
      </c>
      <c r="AH43" s="9" t="s">
        <v>122</v>
      </c>
      <c r="AI43" s="9" t="s">
        <v>109</v>
      </c>
      <c r="AJ43" s="9" t="s">
        <v>109</v>
      </c>
      <c r="AK43" s="9" t="s">
        <v>872</v>
      </c>
      <c r="AL43" s="9" t="s">
        <v>873</v>
      </c>
      <c r="AM43" s="9" t="s">
        <v>874</v>
      </c>
      <c r="AN43" s="9" t="s">
        <v>875</v>
      </c>
      <c r="AO43" s="9" t="s">
        <v>858</v>
      </c>
      <c r="AP43" s="9" t="s">
        <v>876</v>
      </c>
      <c r="AQ43" s="9" t="s">
        <v>877</v>
      </c>
      <c r="AR43" s="10" t="s">
        <v>130</v>
      </c>
      <c r="AS43" s="10" t="n">
        <v>4</v>
      </c>
      <c r="AT43" s="10" t="n">
        <v>4</v>
      </c>
      <c r="AU43" s="10" t="n">
        <v>3</v>
      </c>
      <c r="AV43" s="10" t="n">
        <v>2</v>
      </c>
      <c r="AW43" s="10" t="n">
        <v>2</v>
      </c>
      <c r="AX43" s="9" t="s">
        <v>878</v>
      </c>
    </row>
    <row r="44" customFormat="false" ht="60" hidden="false" customHeight="true" outlineLevel="0" collapsed="false">
      <c r="A44" s="9" t="s">
        <v>879</v>
      </c>
      <c r="B44" s="9" t="s">
        <v>880</v>
      </c>
      <c r="C44" s="9" t="s">
        <v>31</v>
      </c>
      <c r="D44" s="9" t="s">
        <v>881</v>
      </c>
      <c r="E44" s="9" t="s">
        <v>882</v>
      </c>
      <c r="F44" s="9" t="s">
        <v>883</v>
      </c>
      <c r="G44" s="9" t="s">
        <v>884</v>
      </c>
      <c r="H44" s="9" t="s">
        <v>9</v>
      </c>
      <c r="I44" s="9" t="s">
        <v>160</v>
      </c>
      <c r="J44" s="9" t="s">
        <v>30</v>
      </c>
      <c r="K44" s="9" t="s">
        <v>103</v>
      </c>
      <c r="L44" s="9" t="s">
        <v>203</v>
      </c>
      <c r="M44" s="9" t="s">
        <v>885</v>
      </c>
      <c r="N44" s="9" t="s">
        <v>886</v>
      </c>
      <c r="O44" s="9" t="s">
        <v>887</v>
      </c>
      <c r="P44" s="9" t="s">
        <v>888</v>
      </c>
      <c r="Q44" s="9" t="s">
        <v>122</v>
      </c>
      <c r="R44" s="9" t="s">
        <v>110</v>
      </c>
      <c r="S44" s="9" t="s">
        <v>168</v>
      </c>
      <c r="T44" s="9" t="s">
        <v>169</v>
      </c>
      <c r="U44" s="9" t="s">
        <v>113</v>
      </c>
      <c r="V44" s="9" t="s">
        <v>114</v>
      </c>
      <c r="W44" s="9" t="s">
        <v>115</v>
      </c>
      <c r="X44" s="9" t="s">
        <v>116</v>
      </c>
      <c r="Y44" s="9" t="s">
        <v>117</v>
      </c>
      <c r="Z44" s="9" t="s">
        <v>118</v>
      </c>
      <c r="AA44" s="9" t="s">
        <v>119</v>
      </c>
      <c r="AB44" s="9" t="s">
        <v>109</v>
      </c>
      <c r="AC44" s="9" t="s">
        <v>214</v>
      </c>
      <c r="AD44" s="9" t="s">
        <v>121</v>
      </c>
      <c r="AE44" s="9" t="s">
        <v>109</v>
      </c>
      <c r="AF44" s="9" t="s">
        <v>122</v>
      </c>
      <c r="AG44" s="9" t="s">
        <v>122</v>
      </c>
      <c r="AH44" s="9" t="s">
        <v>122</v>
      </c>
      <c r="AI44" s="9" t="s">
        <v>109</v>
      </c>
      <c r="AJ44" s="9" t="s">
        <v>109</v>
      </c>
      <c r="AK44" s="9" t="s">
        <v>889</v>
      </c>
      <c r="AL44" s="9" t="s">
        <v>890</v>
      </c>
      <c r="AM44" s="9" t="s">
        <v>891</v>
      </c>
      <c r="AN44" s="9" t="s">
        <v>892</v>
      </c>
      <c r="AO44" s="9" t="s">
        <v>858</v>
      </c>
      <c r="AP44" s="9" t="s">
        <v>893</v>
      </c>
      <c r="AQ44" s="9" t="s">
        <v>894</v>
      </c>
      <c r="AR44" s="10" t="s">
        <v>177</v>
      </c>
      <c r="AS44" s="10" t="n">
        <v>6</v>
      </c>
      <c r="AT44" s="10" t="n">
        <v>6</v>
      </c>
      <c r="AU44" s="10" t="n">
        <v>6</v>
      </c>
      <c r="AV44" s="10" t="n">
        <v>4</v>
      </c>
      <c r="AW44" s="10" t="n">
        <v>4</v>
      </c>
      <c r="AX44" s="9" t="s">
        <v>895</v>
      </c>
    </row>
    <row r="45" customFormat="false" ht="60" hidden="false" customHeight="true" outlineLevel="0" collapsed="false">
      <c r="A45" s="9" t="s">
        <v>896</v>
      </c>
      <c r="B45" s="9" t="s">
        <v>897</v>
      </c>
      <c r="C45" s="9" t="s">
        <v>31</v>
      </c>
      <c r="D45" s="9" t="s">
        <v>898</v>
      </c>
      <c r="E45" s="9" t="s">
        <v>899</v>
      </c>
      <c r="F45" s="9" t="s">
        <v>900</v>
      </c>
      <c r="G45" s="9" t="s">
        <v>901</v>
      </c>
      <c r="H45" s="9" t="s">
        <v>9</v>
      </c>
      <c r="I45" s="9" t="s">
        <v>160</v>
      </c>
      <c r="J45" s="9" t="s">
        <v>30</v>
      </c>
      <c r="K45" s="9" t="s">
        <v>103</v>
      </c>
      <c r="L45" s="9" t="s">
        <v>203</v>
      </c>
      <c r="M45" s="9" t="s">
        <v>902</v>
      </c>
      <c r="N45" s="9" t="s">
        <v>903</v>
      </c>
      <c r="O45" s="9" t="s">
        <v>904</v>
      </c>
      <c r="P45" s="9" t="s">
        <v>905</v>
      </c>
      <c r="Q45" s="9" t="s">
        <v>122</v>
      </c>
      <c r="R45" s="9" t="s">
        <v>110</v>
      </c>
      <c r="S45" s="9" t="s">
        <v>168</v>
      </c>
      <c r="T45" s="9" t="s">
        <v>169</v>
      </c>
      <c r="U45" s="9" t="s">
        <v>113</v>
      </c>
      <c r="V45" s="9" t="s">
        <v>114</v>
      </c>
      <c r="W45" s="9" t="s">
        <v>115</v>
      </c>
      <c r="X45" s="9" t="s">
        <v>116</v>
      </c>
      <c r="Y45" s="9" t="s">
        <v>117</v>
      </c>
      <c r="Z45" s="9" t="s">
        <v>118</v>
      </c>
      <c r="AA45" s="9" t="s">
        <v>119</v>
      </c>
      <c r="AB45" s="9" t="s">
        <v>109</v>
      </c>
      <c r="AC45" s="9" t="s">
        <v>214</v>
      </c>
      <c r="AD45" s="9" t="s">
        <v>121</v>
      </c>
      <c r="AE45" s="9" t="s">
        <v>109</v>
      </c>
      <c r="AF45" s="9" t="s">
        <v>109</v>
      </c>
      <c r="AG45" s="9" t="s">
        <v>122</v>
      </c>
      <c r="AH45" s="9" t="s">
        <v>122</v>
      </c>
      <c r="AI45" s="9" t="s">
        <v>109</v>
      </c>
      <c r="AJ45" s="9" t="s">
        <v>109</v>
      </c>
      <c r="AK45" s="9" t="s">
        <v>906</v>
      </c>
      <c r="AL45" s="9" t="s">
        <v>907</v>
      </c>
      <c r="AM45" s="9" t="s">
        <v>908</v>
      </c>
      <c r="AN45" s="9" t="s">
        <v>909</v>
      </c>
      <c r="AO45" s="9" t="s">
        <v>858</v>
      </c>
      <c r="AP45" s="9" t="s">
        <v>910</v>
      </c>
      <c r="AQ45" s="9" t="s">
        <v>911</v>
      </c>
      <c r="AR45" s="10" t="s">
        <v>177</v>
      </c>
      <c r="AS45" s="10" t="n">
        <v>6</v>
      </c>
      <c r="AT45" s="10" t="n">
        <v>5</v>
      </c>
      <c r="AU45" s="10" t="n">
        <v>7</v>
      </c>
      <c r="AV45" s="10" t="n">
        <v>5</v>
      </c>
      <c r="AW45" s="10" t="n">
        <v>5</v>
      </c>
      <c r="AX45" s="9" t="s">
        <v>912</v>
      </c>
    </row>
    <row r="46" customFormat="false" ht="60" hidden="false" customHeight="true" outlineLevel="0" collapsed="false">
      <c r="A46" s="9" t="s">
        <v>913</v>
      </c>
      <c r="B46" s="9" t="s">
        <v>914</v>
      </c>
      <c r="C46" s="9" t="s">
        <v>32</v>
      </c>
      <c r="D46" s="9" t="s">
        <v>915</v>
      </c>
      <c r="E46" s="9" t="s">
        <v>916</v>
      </c>
      <c r="F46" s="9" t="s">
        <v>917</v>
      </c>
      <c r="G46" s="9" t="s">
        <v>918</v>
      </c>
      <c r="H46" s="9" t="s">
        <v>11</v>
      </c>
      <c r="I46" s="9" t="s">
        <v>202</v>
      </c>
      <c r="J46" s="9" t="s">
        <v>24</v>
      </c>
      <c r="K46" s="9" t="s">
        <v>434</v>
      </c>
      <c r="L46" s="9" t="s">
        <v>435</v>
      </c>
      <c r="M46" s="9" t="s">
        <v>919</v>
      </c>
      <c r="N46" s="9" t="s">
        <v>920</v>
      </c>
      <c r="O46" s="9" t="s">
        <v>921</v>
      </c>
      <c r="P46" s="9" t="s">
        <v>922</v>
      </c>
      <c r="Q46" s="9" t="s">
        <v>122</v>
      </c>
      <c r="R46" s="9" t="s">
        <v>440</v>
      </c>
      <c r="S46" s="9" t="s">
        <v>209</v>
      </c>
      <c r="T46" s="9" t="s">
        <v>210</v>
      </c>
      <c r="U46" s="9" t="s">
        <v>113</v>
      </c>
      <c r="V46" s="9" t="s">
        <v>114</v>
      </c>
      <c r="W46" s="9" t="s">
        <v>211</v>
      </c>
      <c r="X46" s="9" t="s">
        <v>116</v>
      </c>
      <c r="Y46" s="9" t="s">
        <v>212</v>
      </c>
      <c r="Z46" s="9" t="s">
        <v>213</v>
      </c>
      <c r="AA46" s="9" t="s">
        <v>145</v>
      </c>
      <c r="AB46" s="9" t="s">
        <v>122</v>
      </c>
      <c r="AC46" s="9" t="s">
        <v>441</v>
      </c>
      <c r="AD46" s="9" t="s">
        <v>215</v>
      </c>
      <c r="AE46" s="9" t="s">
        <v>122</v>
      </c>
      <c r="AF46" s="9" t="s">
        <v>122</v>
      </c>
      <c r="AG46" s="9" t="s">
        <v>122</v>
      </c>
      <c r="AH46" s="9" t="s">
        <v>122</v>
      </c>
      <c r="AI46" s="9" t="s">
        <v>109</v>
      </c>
      <c r="AJ46" s="9" t="s">
        <v>109</v>
      </c>
      <c r="AK46" s="9" t="s">
        <v>923</v>
      </c>
      <c r="AL46" s="9" t="s">
        <v>924</v>
      </c>
      <c r="AM46" s="9" t="s">
        <v>925</v>
      </c>
      <c r="AN46" s="9" t="s">
        <v>926</v>
      </c>
      <c r="AO46" s="9" t="s">
        <v>927</v>
      </c>
      <c r="AP46" s="9" t="s">
        <v>367</v>
      </c>
      <c r="AQ46" s="9" t="s">
        <v>928</v>
      </c>
      <c r="AR46" s="10" t="s">
        <v>223</v>
      </c>
      <c r="AS46" s="10" t="n">
        <v>7</v>
      </c>
      <c r="AT46" s="10" t="n">
        <v>8</v>
      </c>
      <c r="AU46" s="10" t="n">
        <v>7</v>
      </c>
      <c r="AV46" s="10" t="n">
        <v>7</v>
      </c>
      <c r="AW46" s="10" t="n">
        <v>6</v>
      </c>
      <c r="AX46" s="9" t="s">
        <v>929</v>
      </c>
    </row>
    <row r="47" customFormat="false" ht="60" hidden="false" customHeight="true" outlineLevel="0" collapsed="false">
      <c r="A47" s="9" t="s">
        <v>930</v>
      </c>
      <c r="B47" s="9" t="s">
        <v>931</v>
      </c>
      <c r="C47" s="9" t="s">
        <v>32</v>
      </c>
      <c r="D47" s="9" t="s">
        <v>932</v>
      </c>
      <c r="E47" s="9" t="s">
        <v>933</v>
      </c>
      <c r="F47" s="9" t="s">
        <v>934</v>
      </c>
      <c r="G47" s="9" t="s">
        <v>935</v>
      </c>
      <c r="H47" s="9" t="s">
        <v>11</v>
      </c>
      <c r="I47" s="9" t="s">
        <v>202</v>
      </c>
      <c r="J47" s="9" t="s">
        <v>28</v>
      </c>
      <c r="K47" s="9" t="s">
        <v>138</v>
      </c>
      <c r="L47" s="9" t="s">
        <v>139</v>
      </c>
      <c r="M47" s="9" t="s">
        <v>936</v>
      </c>
      <c r="N47" s="9" t="s">
        <v>937</v>
      </c>
      <c r="O47" s="9" t="s">
        <v>938</v>
      </c>
      <c r="P47" s="9" t="s">
        <v>939</v>
      </c>
      <c r="Q47" s="9" t="s">
        <v>122</v>
      </c>
      <c r="R47" s="9" t="s">
        <v>144</v>
      </c>
      <c r="S47" s="9" t="s">
        <v>209</v>
      </c>
      <c r="T47" s="9" t="s">
        <v>210</v>
      </c>
      <c r="U47" s="9" t="s">
        <v>113</v>
      </c>
      <c r="V47" s="9" t="s">
        <v>114</v>
      </c>
      <c r="W47" s="9" t="s">
        <v>211</v>
      </c>
      <c r="X47" s="9" t="s">
        <v>116</v>
      </c>
      <c r="Y47" s="9" t="s">
        <v>212</v>
      </c>
      <c r="Z47" s="9" t="s">
        <v>213</v>
      </c>
      <c r="AA47" s="9" t="s">
        <v>145</v>
      </c>
      <c r="AB47" s="9" t="s">
        <v>122</v>
      </c>
      <c r="AC47" s="9" t="s">
        <v>146</v>
      </c>
      <c r="AD47" s="9" t="s">
        <v>215</v>
      </c>
      <c r="AE47" s="9" t="s">
        <v>122</v>
      </c>
      <c r="AF47" s="9" t="s">
        <v>122</v>
      </c>
      <c r="AG47" s="9" t="s">
        <v>109</v>
      </c>
      <c r="AH47" s="9" t="s">
        <v>122</v>
      </c>
      <c r="AI47" s="9" t="s">
        <v>109</v>
      </c>
      <c r="AJ47" s="9" t="s">
        <v>109</v>
      </c>
      <c r="AK47" s="9" t="s">
        <v>940</v>
      </c>
      <c r="AL47" s="9" t="s">
        <v>941</v>
      </c>
      <c r="AM47" s="9" t="s">
        <v>942</v>
      </c>
      <c r="AN47" s="9" t="s">
        <v>943</v>
      </c>
      <c r="AO47" s="9" t="s">
        <v>927</v>
      </c>
      <c r="AP47" s="9" t="s">
        <v>944</v>
      </c>
      <c r="AQ47" s="9" t="s">
        <v>945</v>
      </c>
      <c r="AR47" s="10" t="s">
        <v>223</v>
      </c>
      <c r="AS47" s="10" t="n">
        <v>8</v>
      </c>
      <c r="AT47" s="10" t="n">
        <v>8</v>
      </c>
      <c r="AU47" s="10" t="n">
        <v>7</v>
      </c>
      <c r="AV47" s="10" t="n">
        <v>8</v>
      </c>
      <c r="AW47" s="10" t="n">
        <v>5</v>
      </c>
      <c r="AX47" s="9" t="s">
        <v>946</v>
      </c>
    </row>
    <row r="48" customFormat="false" ht="60" hidden="false" customHeight="true" outlineLevel="0" collapsed="false">
      <c r="A48" s="9" t="s">
        <v>947</v>
      </c>
      <c r="B48" s="9" t="s">
        <v>948</v>
      </c>
      <c r="C48" s="9" t="s">
        <v>32</v>
      </c>
      <c r="D48" s="9" t="s">
        <v>949</v>
      </c>
      <c r="E48" s="9" t="s">
        <v>950</v>
      </c>
      <c r="F48" s="9" t="s">
        <v>951</v>
      </c>
      <c r="G48" s="9" t="s">
        <v>952</v>
      </c>
      <c r="H48" s="9" t="s">
        <v>11</v>
      </c>
      <c r="I48" s="9" t="s">
        <v>202</v>
      </c>
      <c r="J48" s="9" t="s">
        <v>28</v>
      </c>
      <c r="K48" s="9" t="s">
        <v>138</v>
      </c>
      <c r="L48" s="9" t="s">
        <v>139</v>
      </c>
      <c r="M48" s="9" t="s">
        <v>953</v>
      </c>
      <c r="N48" s="9" t="s">
        <v>954</v>
      </c>
      <c r="O48" s="9" t="s">
        <v>955</v>
      </c>
      <c r="P48" s="9" t="s">
        <v>956</v>
      </c>
      <c r="Q48" s="9" t="s">
        <v>122</v>
      </c>
      <c r="R48" s="9" t="s">
        <v>144</v>
      </c>
      <c r="S48" s="9" t="s">
        <v>209</v>
      </c>
      <c r="T48" s="9" t="s">
        <v>210</v>
      </c>
      <c r="U48" s="9" t="s">
        <v>113</v>
      </c>
      <c r="V48" s="9" t="s">
        <v>114</v>
      </c>
      <c r="W48" s="9" t="s">
        <v>211</v>
      </c>
      <c r="X48" s="9" t="s">
        <v>116</v>
      </c>
      <c r="Y48" s="9" t="s">
        <v>212</v>
      </c>
      <c r="Z48" s="9" t="s">
        <v>213</v>
      </c>
      <c r="AA48" s="9" t="s">
        <v>145</v>
      </c>
      <c r="AB48" s="9" t="s">
        <v>122</v>
      </c>
      <c r="AC48" s="9" t="s">
        <v>146</v>
      </c>
      <c r="AD48" s="9" t="s">
        <v>215</v>
      </c>
      <c r="AE48" s="9" t="s">
        <v>122</v>
      </c>
      <c r="AF48" s="9" t="s">
        <v>122</v>
      </c>
      <c r="AG48" s="9" t="s">
        <v>109</v>
      </c>
      <c r="AH48" s="9" t="s">
        <v>122</v>
      </c>
      <c r="AI48" s="9" t="s">
        <v>109</v>
      </c>
      <c r="AJ48" s="9" t="s">
        <v>109</v>
      </c>
      <c r="AK48" s="9" t="s">
        <v>957</v>
      </c>
      <c r="AL48" s="9" t="s">
        <v>958</v>
      </c>
      <c r="AM48" s="9" t="s">
        <v>959</v>
      </c>
      <c r="AN48" s="9" t="s">
        <v>960</v>
      </c>
      <c r="AO48" s="9" t="s">
        <v>927</v>
      </c>
      <c r="AP48" s="9" t="s">
        <v>961</v>
      </c>
      <c r="AQ48" s="9" t="s">
        <v>962</v>
      </c>
      <c r="AR48" s="10" t="s">
        <v>223</v>
      </c>
      <c r="AS48" s="10" t="n">
        <v>8</v>
      </c>
      <c r="AT48" s="10" t="n">
        <v>9</v>
      </c>
      <c r="AU48" s="10" t="n">
        <v>8</v>
      </c>
      <c r="AV48" s="10" t="n">
        <v>8</v>
      </c>
      <c r="AW48" s="10" t="n">
        <v>7</v>
      </c>
      <c r="AX48" s="9" t="s">
        <v>963</v>
      </c>
    </row>
    <row r="49" customFormat="false" ht="60" hidden="false" customHeight="true" outlineLevel="0" collapsed="false">
      <c r="A49" s="9" t="s">
        <v>964</v>
      </c>
      <c r="B49" s="9" t="s">
        <v>965</v>
      </c>
      <c r="C49" s="9" t="s">
        <v>32</v>
      </c>
      <c r="D49" s="9" t="s">
        <v>966</v>
      </c>
      <c r="E49" s="9" t="s">
        <v>967</v>
      </c>
      <c r="F49" s="9" t="s">
        <v>968</v>
      </c>
      <c r="G49" s="9" t="s">
        <v>969</v>
      </c>
      <c r="H49" s="9" t="s">
        <v>13</v>
      </c>
      <c r="I49" s="9" t="s">
        <v>267</v>
      </c>
      <c r="J49" s="9" t="s">
        <v>30</v>
      </c>
      <c r="K49" s="9" t="s">
        <v>103</v>
      </c>
      <c r="L49" s="9" t="s">
        <v>104</v>
      </c>
      <c r="M49" s="9" t="s">
        <v>970</v>
      </c>
      <c r="N49" s="9" t="s">
        <v>971</v>
      </c>
      <c r="O49" s="9" t="s">
        <v>972</v>
      </c>
      <c r="P49" s="9" t="s">
        <v>973</v>
      </c>
      <c r="Q49" s="9" t="s">
        <v>122</v>
      </c>
      <c r="R49" s="9" t="s">
        <v>110</v>
      </c>
      <c r="S49" s="9" t="s">
        <v>272</v>
      </c>
      <c r="T49" s="9" t="s">
        <v>273</v>
      </c>
      <c r="U49" s="9" t="s">
        <v>113</v>
      </c>
      <c r="V49" s="9" t="s">
        <v>274</v>
      </c>
      <c r="W49" s="9" t="s">
        <v>211</v>
      </c>
      <c r="X49" s="9" t="s">
        <v>116</v>
      </c>
      <c r="Y49" s="9" t="s">
        <v>212</v>
      </c>
      <c r="Z49" s="9" t="s">
        <v>213</v>
      </c>
      <c r="AA49" s="9" t="s">
        <v>119</v>
      </c>
      <c r="AB49" s="9" t="s">
        <v>109</v>
      </c>
      <c r="AC49" s="9" t="s">
        <v>120</v>
      </c>
      <c r="AD49" s="9" t="s">
        <v>215</v>
      </c>
      <c r="AE49" s="9" t="s">
        <v>109</v>
      </c>
      <c r="AF49" s="9" t="s">
        <v>122</v>
      </c>
      <c r="AG49" s="9" t="s">
        <v>122</v>
      </c>
      <c r="AH49" s="9" t="s">
        <v>122</v>
      </c>
      <c r="AI49" s="9" t="s">
        <v>109</v>
      </c>
      <c r="AJ49" s="9" t="s">
        <v>109</v>
      </c>
      <c r="AK49" s="9" t="s">
        <v>974</v>
      </c>
      <c r="AL49" s="9" t="s">
        <v>975</v>
      </c>
      <c r="AM49" s="9" t="s">
        <v>976</v>
      </c>
      <c r="AN49" s="9" t="s">
        <v>977</v>
      </c>
      <c r="AO49" s="9" t="s">
        <v>927</v>
      </c>
      <c r="AP49" s="9" t="s">
        <v>978</v>
      </c>
      <c r="AQ49" s="9" t="s">
        <v>979</v>
      </c>
      <c r="AR49" s="10" t="s">
        <v>281</v>
      </c>
      <c r="AS49" s="10" t="n">
        <v>9</v>
      </c>
      <c r="AT49" s="10" t="n">
        <v>8</v>
      </c>
      <c r="AU49" s="10" t="n">
        <v>8</v>
      </c>
      <c r="AV49" s="10" t="n">
        <v>8</v>
      </c>
      <c r="AW49" s="10" t="n">
        <v>7</v>
      </c>
      <c r="AX49" s="9" t="s">
        <v>980</v>
      </c>
    </row>
    <row r="50" customFormat="false" ht="60" hidden="false" customHeight="true" outlineLevel="0" collapsed="false">
      <c r="A50" s="9" t="s">
        <v>981</v>
      </c>
      <c r="B50" s="9" t="s">
        <v>982</v>
      </c>
      <c r="C50" s="9" t="s">
        <v>20</v>
      </c>
      <c r="D50" s="9" t="s">
        <v>983</v>
      </c>
      <c r="E50" s="9" t="s">
        <v>984</v>
      </c>
      <c r="F50" s="9" t="s">
        <v>985</v>
      </c>
      <c r="G50" s="9" t="s">
        <v>986</v>
      </c>
      <c r="H50" s="9" t="s">
        <v>13</v>
      </c>
      <c r="I50" s="9" t="s">
        <v>267</v>
      </c>
      <c r="J50" s="9" t="s">
        <v>24</v>
      </c>
      <c r="K50" s="9" t="s">
        <v>434</v>
      </c>
      <c r="L50" s="9" t="s">
        <v>435</v>
      </c>
      <c r="M50" s="9" t="s">
        <v>987</v>
      </c>
      <c r="N50" s="9" t="s">
        <v>988</v>
      </c>
      <c r="O50" s="9" t="s">
        <v>989</v>
      </c>
      <c r="P50" s="9" t="s">
        <v>990</v>
      </c>
      <c r="Q50" s="9" t="s">
        <v>109</v>
      </c>
      <c r="R50" s="9" t="s">
        <v>440</v>
      </c>
      <c r="S50" s="9" t="s">
        <v>272</v>
      </c>
      <c r="T50" s="9" t="s">
        <v>273</v>
      </c>
      <c r="U50" s="9" t="s">
        <v>113</v>
      </c>
      <c r="V50" s="9" t="s">
        <v>274</v>
      </c>
      <c r="W50" s="9" t="s">
        <v>211</v>
      </c>
      <c r="X50" s="9" t="s">
        <v>116</v>
      </c>
      <c r="Y50" s="9" t="s">
        <v>212</v>
      </c>
      <c r="Z50" s="9" t="s">
        <v>213</v>
      </c>
      <c r="AA50" s="9" t="s">
        <v>145</v>
      </c>
      <c r="AB50" s="9" t="s">
        <v>122</v>
      </c>
      <c r="AC50" s="9" t="s">
        <v>441</v>
      </c>
      <c r="AD50" s="9" t="s">
        <v>215</v>
      </c>
      <c r="AE50" s="9" t="s">
        <v>122</v>
      </c>
      <c r="AF50" s="9" t="s">
        <v>122</v>
      </c>
      <c r="AG50" s="9" t="s">
        <v>122</v>
      </c>
      <c r="AH50" s="9" t="s">
        <v>122</v>
      </c>
      <c r="AI50" s="9" t="s">
        <v>109</v>
      </c>
      <c r="AJ50" s="9" t="s">
        <v>109</v>
      </c>
      <c r="AK50" s="9" t="s">
        <v>991</v>
      </c>
      <c r="AL50" s="9" t="s">
        <v>992</v>
      </c>
      <c r="AM50" s="9" t="s">
        <v>993</v>
      </c>
      <c r="AN50" s="9" t="s">
        <v>994</v>
      </c>
      <c r="AO50" s="9" t="s">
        <v>995</v>
      </c>
      <c r="AP50" s="9" t="s">
        <v>996</v>
      </c>
      <c r="AQ50" s="9" t="s">
        <v>997</v>
      </c>
      <c r="AR50" s="10" t="s">
        <v>281</v>
      </c>
      <c r="AS50" s="10" t="n">
        <v>10</v>
      </c>
      <c r="AT50" s="10" t="n">
        <v>9</v>
      </c>
      <c r="AU50" s="10" t="n">
        <v>8</v>
      </c>
      <c r="AV50" s="10" t="n">
        <v>10</v>
      </c>
      <c r="AW50" s="10" t="n">
        <v>9</v>
      </c>
      <c r="AX50" s="9" t="s">
        <v>998</v>
      </c>
    </row>
    <row r="51" customFormat="false" ht="60" hidden="false" customHeight="true" outlineLevel="0" collapsed="false">
      <c r="A51" s="9" t="s">
        <v>999</v>
      </c>
      <c r="B51" s="9" t="s">
        <v>1000</v>
      </c>
      <c r="C51" s="9" t="s">
        <v>20</v>
      </c>
      <c r="D51" s="9" t="s">
        <v>1001</v>
      </c>
      <c r="E51" s="9" t="s">
        <v>1002</v>
      </c>
      <c r="F51" s="9" t="s">
        <v>1003</v>
      </c>
      <c r="G51" s="9" t="s">
        <v>1004</v>
      </c>
      <c r="H51" s="9" t="s">
        <v>13</v>
      </c>
      <c r="I51" s="9" t="s">
        <v>267</v>
      </c>
      <c r="J51" s="9" t="s">
        <v>24</v>
      </c>
      <c r="K51" s="9" t="s">
        <v>434</v>
      </c>
      <c r="L51" s="9" t="s">
        <v>435</v>
      </c>
      <c r="M51" s="9" t="s">
        <v>1005</v>
      </c>
      <c r="N51" s="9" t="s">
        <v>1006</v>
      </c>
      <c r="O51" s="9" t="s">
        <v>1007</v>
      </c>
      <c r="P51" s="9" t="s">
        <v>1008</v>
      </c>
      <c r="Q51" s="9" t="s">
        <v>235</v>
      </c>
      <c r="R51" s="9" t="s">
        <v>440</v>
      </c>
      <c r="S51" s="9" t="s">
        <v>272</v>
      </c>
      <c r="T51" s="9" t="s">
        <v>273</v>
      </c>
      <c r="U51" s="9" t="s">
        <v>113</v>
      </c>
      <c r="V51" s="9" t="s">
        <v>274</v>
      </c>
      <c r="W51" s="9" t="s">
        <v>211</v>
      </c>
      <c r="X51" s="9" t="s">
        <v>116</v>
      </c>
      <c r="Y51" s="9" t="s">
        <v>212</v>
      </c>
      <c r="Z51" s="9" t="s">
        <v>213</v>
      </c>
      <c r="AA51" s="9" t="s">
        <v>145</v>
      </c>
      <c r="AB51" s="9" t="s">
        <v>122</v>
      </c>
      <c r="AC51" s="9" t="s">
        <v>441</v>
      </c>
      <c r="AD51" s="9" t="s">
        <v>215</v>
      </c>
      <c r="AE51" s="9" t="s">
        <v>122</v>
      </c>
      <c r="AF51" s="9" t="s">
        <v>122</v>
      </c>
      <c r="AG51" s="9" t="s">
        <v>122</v>
      </c>
      <c r="AH51" s="9" t="s">
        <v>122</v>
      </c>
      <c r="AI51" s="9" t="s">
        <v>109</v>
      </c>
      <c r="AJ51" s="9" t="s">
        <v>109</v>
      </c>
      <c r="AK51" s="9" t="s">
        <v>1009</v>
      </c>
      <c r="AL51" s="9" t="s">
        <v>1010</v>
      </c>
      <c r="AM51" s="9" t="s">
        <v>1011</v>
      </c>
      <c r="AN51" s="9" t="s">
        <v>1012</v>
      </c>
      <c r="AO51" s="9" t="s">
        <v>995</v>
      </c>
      <c r="AP51" s="9" t="s">
        <v>1013</v>
      </c>
      <c r="AQ51" s="9" t="s">
        <v>1014</v>
      </c>
      <c r="AR51" s="10" t="s">
        <v>281</v>
      </c>
      <c r="AS51" s="10" t="n">
        <v>8</v>
      </c>
      <c r="AT51" s="10" t="n">
        <v>9</v>
      </c>
      <c r="AU51" s="10" t="n">
        <v>7</v>
      </c>
      <c r="AV51" s="10" t="n">
        <v>8</v>
      </c>
      <c r="AW51" s="10" t="n">
        <v>9</v>
      </c>
      <c r="AX51" s="9" t="s">
        <v>1015</v>
      </c>
    </row>
    <row r="52" customFormat="false" ht="60" hidden="false" customHeight="true" outlineLevel="0" collapsed="false">
      <c r="A52" s="9" t="s">
        <v>1016</v>
      </c>
      <c r="B52" s="9" t="s">
        <v>1017</v>
      </c>
      <c r="C52" s="9" t="s">
        <v>20</v>
      </c>
      <c r="D52" s="9" t="s">
        <v>1018</v>
      </c>
      <c r="E52" s="9" t="s">
        <v>1019</v>
      </c>
      <c r="F52" s="9" t="s">
        <v>1020</v>
      </c>
      <c r="G52" s="9" t="s">
        <v>1021</v>
      </c>
      <c r="H52" s="9" t="s">
        <v>7</v>
      </c>
      <c r="I52" s="9" t="s">
        <v>102</v>
      </c>
      <c r="J52" s="9" t="s">
        <v>30</v>
      </c>
      <c r="K52" s="9" t="s">
        <v>103</v>
      </c>
      <c r="L52" s="9" t="s">
        <v>203</v>
      </c>
      <c r="M52" s="9" t="s">
        <v>1022</v>
      </c>
      <c r="N52" s="9" t="s">
        <v>1023</v>
      </c>
      <c r="O52" s="9" t="s">
        <v>1024</v>
      </c>
      <c r="P52" s="9" t="s">
        <v>1025</v>
      </c>
      <c r="Q52" s="9" t="s">
        <v>122</v>
      </c>
      <c r="R52" s="9" t="s">
        <v>110</v>
      </c>
      <c r="S52" s="9" t="s">
        <v>111</v>
      </c>
      <c r="T52" s="9" t="s">
        <v>112</v>
      </c>
      <c r="U52" s="9" t="s">
        <v>113</v>
      </c>
      <c r="V52" s="9" t="s">
        <v>114</v>
      </c>
      <c r="W52" s="9" t="s">
        <v>115</v>
      </c>
      <c r="X52" s="9" t="s">
        <v>116</v>
      </c>
      <c r="Y52" s="9" t="s">
        <v>117</v>
      </c>
      <c r="Z52" s="9" t="s">
        <v>118</v>
      </c>
      <c r="AA52" s="9" t="s">
        <v>119</v>
      </c>
      <c r="AB52" s="9" t="s">
        <v>109</v>
      </c>
      <c r="AC52" s="9" t="s">
        <v>214</v>
      </c>
      <c r="AD52" s="9" t="s">
        <v>121</v>
      </c>
      <c r="AE52" s="9" t="s">
        <v>109</v>
      </c>
      <c r="AF52" s="9" t="s">
        <v>122</v>
      </c>
      <c r="AG52" s="9" t="s">
        <v>122</v>
      </c>
      <c r="AH52" s="9" t="s">
        <v>122</v>
      </c>
      <c r="AI52" s="9" t="s">
        <v>109</v>
      </c>
      <c r="AJ52" s="9" t="s">
        <v>109</v>
      </c>
      <c r="AK52" s="9" t="s">
        <v>1026</v>
      </c>
      <c r="AL52" s="9" t="s">
        <v>1027</v>
      </c>
      <c r="AM52" s="9" t="s">
        <v>1028</v>
      </c>
      <c r="AN52" s="9" t="s">
        <v>1029</v>
      </c>
      <c r="AO52" s="9" t="s">
        <v>995</v>
      </c>
      <c r="AP52" s="9" t="s">
        <v>1030</v>
      </c>
      <c r="AQ52" s="9" t="s">
        <v>1031</v>
      </c>
      <c r="AR52" s="10" t="s">
        <v>130</v>
      </c>
      <c r="AS52" s="10" t="n">
        <v>4</v>
      </c>
      <c r="AT52" s="10" t="n">
        <v>6</v>
      </c>
      <c r="AU52" s="10" t="n">
        <v>4</v>
      </c>
      <c r="AV52" s="10" t="n">
        <v>2</v>
      </c>
      <c r="AW52" s="10" t="n">
        <v>3</v>
      </c>
      <c r="AX52" s="9" t="s">
        <v>1032</v>
      </c>
    </row>
    <row r="53" customFormat="false" ht="60" hidden="false" customHeight="true" outlineLevel="0" collapsed="false">
      <c r="A53" s="9" t="s">
        <v>1033</v>
      </c>
      <c r="B53" s="9" t="s">
        <v>1034</v>
      </c>
      <c r="C53" s="9" t="s">
        <v>20</v>
      </c>
      <c r="D53" s="9" t="s">
        <v>1035</v>
      </c>
      <c r="E53" s="9" t="s">
        <v>1036</v>
      </c>
      <c r="F53" s="9" t="s">
        <v>1037</v>
      </c>
      <c r="G53" s="9" t="s">
        <v>1038</v>
      </c>
      <c r="H53" s="9" t="s">
        <v>7</v>
      </c>
      <c r="I53" s="9" t="s">
        <v>102</v>
      </c>
      <c r="J53" s="9" t="s">
        <v>24</v>
      </c>
      <c r="K53" s="9" t="s">
        <v>434</v>
      </c>
      <c r="L53" s="9" t="s">
        <v>435</v>
      </c>
      <c r="M53" s="9" t="s">
        <v>1039</v>
      </c>
      <c r="N53" s="9" t="s">
        <v>1040</v>
      </c>
      <c r="O53" s="9" t="s">
        <v>1041</v>
      </c>
      <c r="P53" s="9" t="s">
        <v>1042</v>
      </c>
      <c r="Q53" s="9" t="s">
        <v>122</v>
      </c>
      <c r="R53" s="9" t="s">
        <v>440</v>
      </c>
      <c r="S53" s="9" t="s">
        <v>111</v>
      </c>
      <c r="T53" s="9" t="s">
        <v>112</v>
      </c>
      <c r="U53" s="9" t="s">
        <v>113</v>
      </c>
      <c r="V53" s="9" t="s">
        <v>114</v>
      </c>
      <c r="W53" s="9" t="s">
        <v>115</v>
      </c>
      <c r="X53" s="9" t="s">
        <v>116</v>
      </c>
      <c r="Y53" s="9" t="s">
        <v>117</v>
      </c>
      <c r="Z53" s="9" t="s">
        <v>118</v>
      </c>
      <c r="AA53" s="9" t="s">
        <v>145</v>
      </c>
      <c r="AB53" s="9" t="s">
        <v>122</v>
      </c>
      <c r="AC53" s="9" t="s">
        <v>441</v>
      </c>
      <c r="AD53" s="9" t="s">
        <v>121</v>
      </c>
      <c r="AE53" s="9" t="s">
        <v>122</v>
      </c>
      <c r="AF53" s="9" t="s">
        <v>122</v>
      </c>
      <c r="AG53" s="9" t="s">
        <v>122</v>
      </c>
      <c r="AH53" s="9" t="s">
        <v>122</v>
      </c>
      <c r="AI53" s="9" t="s">
        <v>109</v>
      </c>
      <c r="AJ53" s="9" t="s">
        <v>109</v>
      </c>
      <c r="AK53" s="9" t="s">
        <v>1043</v>
      </c>
      <c r="AL53" s="9" t="s">
        <v>1044</v>
      </c>
      <c r="AM53" s="9" t="s">
        <v>1045</v>
      </c>
      <c r="AN53" s="9" t="s">
        <v>1046</v>
      </c>
      <c r="AO53" s="9" t="s">
        <v>995</v>
      </c>
      <c r="AP53" s="9" t="s">
        <v>1047</v>
      </c>
      <c r="AQ53" s="9" t="s">
        <v>1048</v>
      </c>
      <c r="AR53" s="10" t="s">
        <v>130</v>
      </c>
      <c r="AS53" s="10" t="n">
        <v>4</v>
      </c>
      <c r="AT53" s="10" t="n">
        <v>5</v>
      </c>
      <c r="AU53" s="10" t="n">
        <v>3</v>
      </c>
      <c r="AV53" s="10" t="n">
        <v>3</v>
      </c>
      <c r="AW53" s="10" t="n">
        <v>2</v>
      </c>
      <c r="AX53" s="9" t="s">
        <v>1049</v>
      </c>
    </row>
    <row r="54" customFormat="false" ht="60" hidden="false" customHeight="true" outlineLevel="0" collapsed="false">
      <c r="A54" s="9" t="s">
        <v>1050</v>
      </c>
      <c r="B54" s="9" t="s">
        <v>1051</v>
      </c>
      <c r="C54" s="9" t="s">
        <v>6</v>
      </c>
      <c r="D54" s="9" t="s">
        <v>1052</v>
      </c>
      <c r="E54" s="9" t="s">
        <v>1053</v>
      </c>
      <c r="F54" s="9" t="s">
        <v>1054</v>
      </c>
      <c r="G54" s="9" t="s">
        <v>1055</v>
      </c>
      <c r="H54" s="9" t="s">
        <v>9</v>
      </c>
      <c r="I54" s="9" t="s">
        <v>160</v>
      </c>
      <c r="J54" s="9" t="s">
        <v>24</v>
      </c>
      <c r="K54" s="9" t="s">
        <v>434</v>
      </c>
      <c r="L54" s="9" t="s">
        <v>435</v>
      </c>
      <c r="M54" s="9" t="s">
        <v>1056</v>
      </c>
      <c r="N54" s="9" t="s">
        <v>1057</v>
      </c>
      <c r="O54" s="9" t="s">
        <v>1058</v>
      </c>
      <c r="P54" s="9" t="s">
        <v>1059</v>
      </c>
      <c r="Q54" s="9" t="s">
        <v>122</v>
      </c>
      <c r="R54" s="9" t="s">
        <v>440</v>
      </c>
      <c r="S54" s="9" t="s">
        <v>168</v>
      </c>
      <c r="T54" s="9" t="s">
        <v>169</v>
      </c>
      <c r="U54" s="9" t="s">
        <v>113</v>
      </c>
      <c r="V54" s="9" t="s">
        <v>114</v>
      </c>
      <c r="W54" s="9" t="s">
        <v>115</v>
      </c>
      <c r="X54" s="9" t="s">
        <v>116</v>
      </c>
      <c r="Y54" s="9" t="s">
        <v>117</v>
      </c>
      <c r="Z54" s="9" t="s">
        <v>118</v>
      </c>
      <c r="AA54" s="9" t="s">
        <v>145</v>
      </c>
      <c r="AB54" s="9" t="s">
        <v>122</v>
      </c>
      <c r="AC54" s="9" t="s">
        <v>441</v>
      </c>
      <c r="AD54" s="9" t="s">
        <v>121</v>
      </c>
      <c r="AE54" s="9" t="s">
        <v>122</v>
      </c>
      <c r="AF54" s="9" t="s">
        <v>122</v>
      </c>
      <c r="AG54" s="9" t="s">
        <v>122</v>
      </c>
      <c r="AH54" s="9" t="s">
        <v>122</v>
      </c>
      <c r="AI54" s="9" t="s">
        <v>109</v>
      </c>
      <c r="AJ54" s="9" t="s">
        <v>109</v>
      </c>
      <c r="AK54" s="9" t="s">
        <v>1060</v>
      </c>
      <c r="AL54" s="9" t="s">
        <v>1061</v>
      </c>
      <c r="AM54" s="9" t="s">
        <v>1062</v>
      </c>
      <c r="AN54" s="9" t="s">
        <v>1063</v>
      </c>
      <c r="AO54" s="9" t="s">
        <v>1064</v>
      </c>
      <c r="AP54" s="9" t="s">
        <v>1065</v>
      </c>
      <c r="AQ54" s="9" t="s">
        <v>1066</v>
      </c>
      <c r="AR54" s="10" t="s">
        <v>177</v>
      </c>
      <c r="AS54" s="10" t="n">
        <v>7</v>
      </c>
      <c r="AT54" s="10" t="n">
        <v>7</v>
      </c>
      <c r="AU54" s="10" t="n">
        <v>7</v>
      </c>
      <c r="AV54" s="10" t="n">
        <v>5</v>
      </c>
      <c r="AW54" s="10" t="n">
        <v>3</v>
      </c>
      <c r="AX54" s="9" t="s">
        <v>1067</v>
      </c>
    </row>
    <row r="55" customFormat="false" ht="60" hidden="false" customHeight="true" outlineLevel="0" collapsed="false">
      <c r="A55" s="9" t="s">
        <v>1068</v>
      </c>
      <c r="B55" s="9" t="s">
        <v>1069</v>
      </c>
      <c r="C55" s="9" t="s">
        <v>6</v>
      </c>
      <c r="D55" s="9" t="s">
        <v>1070</v>
      </c>
      <c r="E55" s="9" t="s">
        <v>1071</v>
      </c>
      <c r="F55" s="9" t="s">
        <v>1072</v>
      </c>
      <c r="G55" s="9" t="s">
        <v>1073</v>
      </c>
      <c r="H55" s="9" t="s">
        <v>9</v>
      </c>
      <c r="I55" s="9" t="s">
        <v>160</v>
      </c>
      <c r="J55" s="9" t="s">
        <v>28</v>
      </c>
      <c r="K55" s="9" t="s">
        <v>138</v>
      </c>
      <c r="L55" s="9" t="s">
        <v>139</v>
      </c>
      <c r="M55" s="9" t="s">
        <v>1074</v>
      </c>
      <c r="N55" s="9" t="s">
        <v>1075</v>
      </c>
      <c r="O55" s="9" t="s">
        <v>1076</v>
      </c>
      <c r="P55" s="9" t="s">
        <v>1077</v>
      </c>
      <c r="Q55" s="9" t="s">
        <v>109</v>
      </c>
      <c r="R55" s="9" t="s">
        <v>144</v>
      </c>
      <c r="S55" s="9" t="s">
        <v>168</v>
      </c>
      <c r="T55" s="9" t="s">
        <v>169</v>
      </c>
      <c r="U55" s="9" t="s">
        <v>113</v>
      </c>
      <c r="V55" s="9" t="s">
        <v>114</v>
      </c>
      <c r="W55" s="9" t="s">
        <v>115</v>
      </c>
      <c r="X55" s="9" t="s">
        <v>116</v>
      </c>
      <c r="Y55" s="9" t="s">
        <v>117</v>
      </c>
      <c r="Z55" s="9" t="s">
        <v>118</v>
      </c>
      <c r="AA55" s="9" t="s">
        <v>145</v>
      </c>
      <c r="AB55" s="9" t="s">
        <v>122</v>
      </c>
      <c r="AC55" s="9" t="s">
        <v>146</v>
      </c>
      <c r="AD55" s="9" t="s">
        <v>121</v>
      </c>
      <c r="AE55" s="9" t="s">
        <v>122</v>
      </c>
      <c r="AF55" s="9" t="s">
        <v>122</v>
      </c>
      <c r="AG55" s="9" t="s">
        <v>109</v>
      </c>
      <c r="AH55" s="9" t="s">
        <v>122</v>
      </c>
      <c r="AI55" s="9" t="s">
        <v>109</v>
      </c>
      <c r="AJ55" s="9" t="s">
        <v>109</v>
      </c>
      <c r="AK55" s="9" t="s">
        <v>1078</v>
      </c>
      <c r="AL55" s="9" t="s">
        <v>1079</v>
      </c>
      <c r="AM55" s="9" t="s">
        <v>1080</v>
      </c>
      <c r="AN55" s="9" t="s">
        <v>1081</v>
      </c>
      <c r="AO55" s="9" t="s">
        <v>1064</v>
      </c>
      <c r="AP55" s="9" t="s">
        <v>1082</v>
      </c>
      <c r="AQ55" s="9" t="s">
        <v>1083</v>
      </c>
      <c r="AR55" s="10" t="s">
        <v>177</v>
      </c>
      <c r="AS55" s="10" t="n">
        <v>5</v>
      </c>
      <c r="AT55" s="10" t="n">
        <v>6</v>
      </c>
      <c r="AU55" s="10" t="n">
        <v>7</v>
      </c>
      <c r="AV55" s="10" t="n">
        <v>4</v>
      </c>
      <c r="AW55" s="10" t="n">
        <v>3</v>
      </c>
      <c r="AX55" s="9" t="s">
        <v>1084</v>
      </c>
    </row>
    <row r="56" customFormat="false" ht="60" hidden="false" customHeight="true" outlineLevel="0" collapsed="false">
      <c r="A56" s="9" t="s">
        <v>1085</v>
      </c>
      <c r="B56" s="9" t="s">
        <v>1086</v>
      </c>
      <c r="C56" s="9" t="s">
        <v>6</v>
      </c>
      <c r="D56" s="9" t="s">
        <v>1087</v>
      </c>
      <c r="E56" s="9" t="s">
        <v>1088</v>
      </c>
      <c r="F56" s="9" t="s">
        <v>1089</v>
      </c>
      <c r="G56" s="9" t="s">
        <v>1090</v>
      </c>
      <c r="H56" s="9" t="s">
        <v>11</v>
      </c>
      <c r="I56" s="9" t="s">
        <v>202</v>
      </c>
      <c r="J56" s="9" t="s">
        <v>28</v>
      </c>
      <c r="K56" s="9" t="s">
        <v>138</v>
      </c>
      <c r="L56" s="9" t="s">
        <v>139</v>
      </c>
      <c r="M56" s="9" t="s">
        <v>1091</v>
      </c>
      <c r="N56" s="9" t="s">
        <v>1092</v>
      </c>
      <c r="O56" s="9" t="s">
        <v>1093</v>
      </c>
      <c r="P56" s="9" t="s">
        <v>1094</v>
      </c>
      <c r="Q56" s="9" t="s">
        <v>122</v>
      </c>
      <c r="R56" s="9" t="s">
        <v>144</v>
      </c>
      <c r="S56" s="9" t="s">
        <v>209</v>
      </c>
      <c r="T56" s="9" t="s">
        <v>210</v>
      </c>
      <c r="U56" s="9" t="s">
        <v>113</v>
      </c>
      <c r="V56" s="9" t="s">
        <v>114</v>
      </c>
      <c r="W56" s="9" t="s">
        <v>211</v>
      </c>
      <c r="X56" s="9" t="s">
        <v>116</v>
      </c>
      <c r="Y56" s="9" t="s">
        <v>212</v>
      </c>
      <c r="Z56" s="9" t="s">
        <v>213</v>
      </c>
      <c r="AA56" s="9" t="s">
        <v>145</v>
      </c>
      <c r="AB56" s="9" t="s">
        <v>122</v>
      </c>
      <c r="AC56" s="9" t="s">
        <v>146</v>
      </c>
      <c r="AD56" s="9" t="s">
        <v>215</v>
      </c>
      <c r="AE56" s="9" t="s">
        <v>122</v>
      </c>
      <c r="AF56" s="9" t="s">
        <v>122</v>
      </c>
      <c r="AG56" s="9" t="s">
        <v>109</v>
      </c>
      <c r="AH56" s="9" t="s">
        <v>122</v>
      </c>
      <c r="AI56" s="9" t="s">
        <v>109</v>
      </c>
      <c r="AJ56" s="9" t="s">
        <v>109</v>
      </c>
      <c r="AK56" s="9" t="s">
        <v>1095</v>
      </c>
      <c r="AL56" s="9" t="s">
        <v>1096</v>
      </c>
      <c r="AM56" s="9" t="s">
        <v>1097</v>
      </c>
      <c r="AN56" s="9" t="s">
        <v>1098</v>
      </c>
      <c r="AO56" s="9" t="s">
        <v>1064</v>
      </c>
      <c r="AP56" s="9" t="s">
        <v>1099</v>
      </c>
      <c r="AQ56" s="9" t="s">
        <v>1100</v>
      </c>
      <c r="AR56" s="10" t="s">
        <v>223</v>
      </c>
      <c r="AS56" s="10" t="n">
        <v>9</v>
      </c>
      <c r="AT56" s="10" t="n">
        <v>9</v>
      </c>
      <c r="AU56" s="10" t="n">
        <v>8</v>
      </c>
      <c r="AV56" s="10" t="n">
        <v>7</v>
      </c>
      <c r="AW56" s="10" t="n">
        <v>6</v>
      </c>
      <c r="AX56" s="9" t="s">
        <v>1101</v>
      </c>
    </row>
    <row r="57" customFormat="false" ht="60" hidden="false" customHeight="true" outlineLevel="0" collapsed="false">
      <c r="A57" s="9" t="s">
        <v>1102</v>
      </c>
      <c r="B57" s="9" t="s">
        <v>1103</v>
      </c>
      <c r="C57" s="9" t="s">
        <v>6</v>
      </c>
      <c r="D57" s="9" t="s">
        <v>1104</v>
      </c>
      <c r="E57" s="9" t="s">
        <v>1105</v>
      </c>
      <c r="F57" s="9" t="s">
        <v>1106</v>
      </c>
      <c r="G57" s="9" t="s">
        <v>1107</v>
      </c>
      <c r="H57" s="9" t="s">
        <v>11</v>
      </c>
      <c r="I57" s="9" t="s">
        <v>202</v>
      </c>
      <c r="J57" s="9" t="s">
        <v>28</v>
      </c>
      <c r="K57" s="9" t="s">
        <v>138</v>
      </c>
      <c r="L57" s="9" t="s">
        <v>139</v>
      </c>
      <c r="M57" s="9" t="s">
        <v>1108</v>
      </c>
      <c r="N57" s="9" t="s">
        <v>1109</v>
      </c>
      <c r="O57" s="9" t="s">
        <v>1110</v>
      </c>
      <c r="P57" s="9" t="s">
        <v>1111</v>
      </c>
      <c r="Q57" s="9" t="s">
        <v>122</v>
      </c>
      <c r="R57" s="9" t="s">
        <v>144</v>
      </c>
      <c r="S57" s="9" t="s">
        <v>209</v>
      </c>
      <c r="T57" s="9" t="s">
        <v>210</v>
      </c>
      <c r="U57" s="9" t="s">
        <v>113</v>
      </c>
      <c r="V57" s="9" t="s">
        <v>114</v>
      </c>
      <c r="W57" s="9" t="s">
        <v>211</v>
      </c>
      <c r="X57" s="9" t="s">
        <v>116</v>
      </c>
      <c r="Y57" s="9" t="s">
        <v>212</v>
      </c>
      <c r="Z57" s="9" t="s">
        <v>213</v>
      </c>
      <c r="AA57" s="9" t="s">
        <v>145</v>
      </c>
      <c r="AB57" s="9" t="s">
        <v>122</v>
      </c>
      <c r="AC57" s="9" t="s">
        <v>146</v>
      </c>
      <c r="AD57" s="9" t="s">
        <v>215</v>
      </c>
      <c r="AE57" s="9" t="s">
        <v>122</v>
      </c>
      <c r="AF57" s="9" t="s">
        <v>122</v>
      </c>
      <c r="AG57" s="9" t="s">
        <v>109</v>
      </c>
      <c r="AH57" s="9" t="s">
        <v>122</v>
      </c>
      <c r="AI57" s="9" t="s">
        <v>109</v>
      </c>
      <c r="AJ57" s="9" t="s">
        <v>109</v>
      </c>
      <c r="AK57" s="9" t="s">
        <v>1112</v>
      </c>
      <c r="AL57" s="9" t="s">
        <v>1113</v>
      </c>
      <c r="AM57" s="9" t="s">
        <v>1114</v>
      </c>
      <c r="AN57" s="9" t="s">
        <v>1115</v>
      </c>
      <c r="AO57" s="9" t="s">
        <v>1064</v>
      </c>
      <c r="AP57" s="9" t="s">
        <v>1116</v>
      </c>
      <c r="AQ57" s="9" t="s">
        <v>1117</v>
      </c>
      <c r="AR57" s="10" t="s">
        <v>223</v>
      </c>
      <c r="AS57" s="10" t="n">
        <v>7</v>
      </c>
      <c r="AT57" s="10" t="n">
        <v>9</v>
      </c>
      <c r="AU57" s="10" t="n">
        <v>6</v>
      </c>
      <c r="AV57" s="10" t="n">
        <v>7</v>
      </c>
      <c r="AW57" s="10" t="n">
        <v>5</v>
      </c>
      <c r="AX57" s="9" t="s">
        <v>1118</v>
      </c>
    </row>
    <row r="58" customFormat="false" ht="60" hidden="false" customHeight="true" outlineLevel="0" collapsed="false">
      <c r="A58" s="9" t="s">
        <v>1119</v>
      </c>
      <c r="B58" s="9" t="s">
        <v>1120</v>
      </c>
      <c r="C58" s="9" t="s">
        <v>23</v>
      </c>
      <c r="D58" s="9" t="s">
        <v>1121</v>
      </c>
      <c r="E58" s="9" t="s">
        <v>1122</v>
      </c>
      <c r="F58" s="9" t="s">
        <v>1123</v>
      </c>
      <c r="G58" s="9" t="s">
        <v>1124</v>
      </c>
      <c r="H58" s="9" t="s">
        <v>11</v>
      </c>
      <c r="I58" s="9" t="s">
        <v>202</v>
      </c>
      <c r="J58" s="9" t="s">
        <v>30</v>
      </c>
      <c r="K58" s="9" t="s">
        <v>103</v>
      </c>
      <c r="L58" s="9" t="s">
        <v>203</v>
      </c>
      <c r="M58" s="9" t="s">
        <v>1125</v>
      </c>
      <c r="N58" s="9" t="s">
        <v>1126</v>
      </c>
      <c r="O58" s="9" t="s">
        <v>1127</v>
      </c>
      <c r="P58" s="9" t="s">
        <v>1128</v>
      </c>
      <c r="Q58" s="9" t="s">
        <v>109</v>
      </c>
      <c r="R58" s="9" t="s">
        <v>110</v>
      </c>
      <c r="S58" s="9" t="s">
        <v>209</v>
      </c>
      <c r="T58" s="9" t="s">
        <v>210</v>
      </c>
      <c r="U58" s="9" t="s">
        <v>113</v>
      </c>
      <c r="V58" s="9" t="s">
        <v>114</v>
      </c>
      <c r="W58" s="9" t="s">
        <v>211</v>
      </c>
      <c r="X58" s="9" t="s">
        <v>116</v>
      </c>
      <c r="Y58" s="9" t="s">
        <v>212</v>
      </c>
      <c r="Z58" s="9" t="s">
        <v>213</v>
      </c>
      <c r="AA58" s="9" t="s">
        <v>119</v>
      </c>
      <c r="AB58" s="9" t="s">
        <v>109</v>
      </c>
      <c r="AC58" s="9" t="s">
        <v>214</v>
      </c>
      <c r="AD58" s="9" t="s">
        <v>215</v>
      </c>
      <c r="AE58" s="9" t="s">
        <v>109</v>
      </c>
      <c r="AF58" s="9" t="s">
        <v>122</v>
      </c>
      <c r="AG58" s="9" t="s">
        <v>122</v>
      </c>
      <c r="AH58" s="9" t="s">
        <v>122</v>
      </c>
      <c r="AI58" s="9" t="s">
        <v>109</v>
      </c>
      <c r="AJ58" s="9" t="s">
        <v>109</v>
      </c>
      <c r="AK58" s="9" t="s">
        <v>1129</v>
      </c>
      <c r="AL58" s="9" t="s">
        <v>1130</v>
      </c>
      <c r="AM58" s="9" t="s">
        <v>1131</v>
      </c>
      <c r="AN58" s="9" t="s">
        <v>1132</v>
      </c>
      <c r="AO58" s="9" t="s">
        <v>1133</v>
      </c>
      <c r="AP58" s="9" t="s">
        <v>1134</v>
      </c>
      <c r="AQ58" s="9" t="s">
        <v>1135</v>
      </c>
      <c r="AR58" s="10" t="s">
        <v>223</v>
      </c>
      <c r="AS58" s="10" t="n">
        <v>9</v>
      </c>
      <c r="AT58" s="10" t="n">
        <v>9</v>
      </c>
      <c r="AU58" s="10" t="n">
        <v>6</v>
      </c>
      <c r="AV58" s="10" t="n">
        <v>8</v>
      </c>
      <c r="AW58" s="10" t="n">
        <v>7</v>
      </c>
      <c r="AX58" s="9" t="s">
        <v>1136</v>
      </c>
    </row>
    <row r="59" customFormat="false" ht="60" hidden="false" customHeight="true" outlineLevel="0" collapsed="false">
      <c r="A59" s="9" t="s">
        <v>1137</v>
      </c>
      <c r="B59" s="9" t="s">
        <v>1138</v>
      </c>
      <c r="C59" s="9" t="s">
        <v>23</v>
      </c>
      <c r="D59" s="9" t="s">
        <v>1139</v>
      </c>
      <c r="E59" s="9" t="s">
        <v>1140</v>
      </c>
      <c r="F59" s="9" t="s">
        <v>1141</v>
      </c>
      <c r="G59" s="9" t="s">
        <v>1142</v>
      </c>
      <c r="H59" s="9" t="s">
        <v>13</v>
      </c>
      <c r="I59" s="9" t="s">
        <v>267</v>
      </c>
      <c r="J59" s="9" t="s">
        <v>28</v>
      </c>
      <c r="K59" s="9" t="s">
        <v>138</v>
      </c>
      <c r="L59" s="9" t="s">
        <v>139</v>
      </c>
      <c r="M59" s="9" t="s">
        <v>1143</v>
      </c>
      <c r="N59" s="9" t="s">
        <v>1144</v>
      </c>
      <c r="O59" s="9" t="s">
        <v>1145</v>
      </c>
      <c r="P59" s="9" t="s">
        <v>1077</v>
      </c>
      <c r="Q59" s="9" t="s">
        <v>109</v>
      </c>
      <c r="R59" s="9" t="s">
        <v>144</v>
      </c>
      <c r="S59" s="9" t="s">
        <v>272</v>
      </c>
      <c r="T59" s="9" t="s">
        <v>273</v>
      </c>
      <c r="U59" s="9" t="s">
        <v>113</v>
      </c>
      <c r="V59" s="9" t="s">
        <v>274</v>
      </c>
      <c r="W59" s="9" t="s">
        <v>211</v>
      </c>
      <c r="X59" s="9" t="s">
        <v>116</v>
      </c>
      <c r="Y59" s="9" t="s">
        <v>212</v>
      </c>
      <c r="Z59" s="9" t="s">
        <v>213</v>
      </c>
      <c r="AA59" s="9" t="s">
        <v>145</v>
      </c>
      <c r="AB59" s="9" t="s">
        <v>122</v>
      </c>
      <c r="AC59" s="9" t="s">
        <v>146</v>
      </c>
      <c r="AD59" s="9" t="s">
        <v>215</v>
      </c>
      <c r="AE59" s="9" t="s">
        <v>122</v>
      </c>
      <c r="AF59" s="9" t="s">
        <v>122</v>
      </c>
      <c r="AG59" s="9" t="s">
        <v>109</v>
      </c>
      <c r="AH59" s="9" t="s">
        <v>122</v>
      </c>
      <c r="AI59" s="9" t="s">
        <v>109</v>
      </c>
      <c r="AJ59" s="9" t="s">
        <v>109</v>
      </c>
      <c r="AK59" s="9" t="s">
        <v>1146</v>
      </c>
      <c r="AL59" s="9" t="s">
        <v>1147</v>
      </c>
      <c r="AM59" s="9" t="s">
        <v>1148</v>
      </c>
      <c r="AN59" s="9" t="s">
        <v>1149</v>
      </c>
      <c r="AO59" s="9" t="s">
        <v>1133</v>
      </c>
      <c r="AP59" s="9" t="s">
        <v>1150</v>
      </c>
      <c r="AQ59" s="9" t="s">
        <v>1151</v>
      </c>
      <c r="AR59" s="10" t="s">
        <v>281</v>
      </c>
      <c r="AS59" s="10" t="n">
        <v>8</v>
      </c>
      <c r="AT59" s="10" t="n">
        <v>8</v>
      </c>
      <c r="AU59" s="10" t="n">
        <v>9</v>
      </c>
      <c r="AV59" s="10" t="n">
        <v>8</v>
      </c>
      <c r="AW59" s="10" t="n">
        <v>8</v>
      </c>
      <c r="AX59" s="9" t="s">
        <v>1152</v>
      </c>
    </row>
    <row r="60" customFormat="false" ht="60" hidden="false" customHeight="true" outlineLevel="0" collapsed="false">
      <c r="A60" s="9" t="s">
        <v>1153</v>
      </c>
      <c r="B60" s="9" t="s">
        <v>1154</v>
      </c>
      <c r="C60" s="9" t="s">
        <v>23</v>
      </c>
      <c r="D60" s="9" t="s">
        <v>1155</v>
      </c>
      <c r="E60" s="9" t="s">
        <v>1156</v>
      </c>
      <c r="F60" s="9" t="s">
        <v>1157</v>
      </c>
      <c r="G60" s="9" t="s">
        <v>1158</v>
      </c>
      <c r="H60" s="9" t="s">
        <v>13</v>
      </c>
      <c r="I60" s="9" t="s">
        <v>267</v>
      </c>
      <c r="J60" s="9" t="s">
        <v>30</v>
      </c>
      <c r="K60" s="9" t="s">
        <v>103</v>
      </c>
      <c r="L60" s="9" t="s">
        <v>203</v>
      </c>
      <c r="M60" s="9" t="s">
        <v>1159</v>
      </c>
      <c r="N60" s="9" t="s">
        <v>1160</v>
      </c>
      <c r="O60" s="9" t="s">
        <v>1161</v>
      </c>
      <c r="P60" s="9" t="s">
        <v>1162</v>
      </c>
      <c r="Q60" s="9" t="s">
        <v>122</v>
      </c>
      <c r="R60" s="9" t="s">
        <v>110</v>
      </c>
      <c r="S60" s="9" t="s">
        <v>272</v>
      </c>
      <c r="T60" s="9" t="s">
        <v>273</v>
      </c>
      <c r="U60" s="9" t="s">
        <v>113</v>
      </c>
      <c r="V60" s="9" t="s">
        <v>274</v>
      </c>
      <c r="W60" s="9" t="s">
        <v>211</v>
      </c>
      <c r="X60" s="9" t="s">
        <v>116</v>
      </c>
      <c r="Y60" s="9" t="s">
        <v>212</v>
      </c>
      <c r="Z60" s="9" t="s">
        <v>213</v>
      </c>
      <c r="AA60" s="9" t="s">
        <v>119</v>
      </c>
      <c r="AB60" s="9" t="s">
        <v>109</v>
      </c>
      <c r="AC60" s="9" t="s">
        <v>214</v>
      </c>
      <c r="AD60" s="9" t="s">
        <v>215</v>
      </c>
      <c r="AE60" s="9" t="s">
        <v>109</v>
      </c>
      <c r="AF60" s="9" t="s">
        <v>122</v>
      </c>
      <c r="AG60" s="9" t="s">
        <v>122</v>
      </c>
      <c r="AH60" s="9" t="s">
        <v>122</v>
      </c>
      <c r="AI60" s="9" t="s">
        <v>109</v>
      </c>
      <c r="AJ60" s="9" t="s">
        <v>109</v>
      </c>
      <c r="AK60" s="9" t="s">
        <v>1163</v>
      </c>
      <c r="AL60" s="9" t="s">
        <v>1164</v>
      </c>
      <c r="AM60" s="9" t="s">
        <v>1165</v>
      </c>
      <c r="AN60" s="9" t="s">
        <v>1166</v>
      </c>
      <c r="AO60" s="9" t="s">
        <v>1133</v>
      </c>
      <c r="AP60" s="9" t="s">
        <v>1167</v>
      </c>
      <c r="AQ60" s="9" t="s">
        <v>1168</v>
      </c>
      <c r="AR60" s="10" t="s">
        <v>281</v>
      </c>
      <c r="AS60" s="10" t="n">
        <v>8</v>
      </c>
      <c r="AT60" s="10" t="n">
        <v>7</v>
      </c>
      <c r="AU60" s="10" t="n">
        <v>8</v>
      </c>
      <c r="AV60" s="10" t="n">
        <v>9</v>
      </c>
      <c r="AW60" s="10" t="n">
        <v>8</v>
      </c>
      <c r="AX60" s="9" t="s">
        <v>1169</v>
      </c>
    </row>
    <row r="61" customFormat="false" ht="60" hidden="false" customHeight="true" outlineLevel="0" collapsed="false">
      <c r="A61" s="9" t="s">
        <v>1170</v>
      </c>
      <c r="B61" s="9" t="s">
        <v>1171</v>
      </c>
      <c r="C61" s="9" t="s">
        <v>23</v>
      </c>
      <c r="D61" s="9" t="s">
        <v>1172</v>
      </c>
      <c r="E61" s="9" t="s">
        <v>1173</v>
      </c>
      <c r="F61" s="9" t="s">
        <v>1174</v>
      </c>
      <c r="G61" s="9" t="s">
        <v>1175</v>
      </c>
      <c r="H61" s="9" t="s">
        <v>13</v>
      </c>
      <c r="I61" s="9" t="s">
        <v>267</v>
      </c>
      <c r="J61" s="9" t="s">
        <v>30</v>
      </c>
      <c r="K61" s="9" t="s">
        <v>103</v>
      </c>
      <c r="L61" s="9" t="s">
        <v>203</v>
      </c>
      <c r="M61" s="9" t="s">
        <v>1176</v>
      </c>
      <c r="N61" s="9" t="s">
        <v>1177</v>
      </c>
      <c r="O61" s="9" t="s">
        <v>1178</v>
      </c>
      <c r="P61" s="9" t="s">
        <v>1179</v>
      </c>
      <c r="Q61" s="9" t="s">
        <v>122</v>
      </c>
      <c r="R61" s="9" t="s">
        <v>110</v>
      </c>
      <c r="S61" s="9" t="s">
        <v>272</v>
      </c>
      <c r="T61" s="9" t="s">
        <v>273</v>
      </c>
      <c r="U61" s="9" t="s">
        <v>113</v>
      </c>
      <c r="V61" s="9" t="s">
        <v>274</v>
      </c>
      <c r="W61" s="9" t="s">
        <v>211</v>
      </c>
      <c r="X61" s="9" t="s">
        <v>116</v>
      </c>
      <c r="Y61" s="9" t="s">
        <v>212</v>
      </c>
      <c r="Z61" s="9" t="s">
        <v>213</v>
      </c>
      <c r="AA61" s="9" t="s">
        <v>119</v>
      </c>
      <c r="AB61" s="9" t="s">
        <v>109</v>
      </c>
      <c r="AC61" s="9" t="s">
        <v>214</v>
      </c>
      <c r="AD61" s="9" t="s">
        <v>215</v>
      </c>
      <c r="AE61" s="9" t="s">
        <v>109</v>
      </c>
      <c r="AF61" s="9" t="s">
        <v>122</v>
      </c>
      <c r="AG61" s="9" t="s">
        <v>122</v>
      </c>
      <c r="AH61" s="9" t="s">
        <v>122</v>
      </c>
      <c r="AI61" s="9" t="s">
        <v>109</v>
      </c>
      <c r="AJ61" s="9" t="s">
        <v>109</v>
      </c>
      <c r="AK61" s="9" t="s">
        <v>1180</v>
      </c>
      <c r="AL61" s="9" t="s">
        <v>1181</v>
      </c>
      <c r="AM61" s="9" t="s">
        <v>1182</v>
      </c>
      <c r="AN61" s="9" t="s">
        <v>1183</v>
      </c>
      <c r="AO61" s="9" t="s">
        <v>1133</v>
      </c>
      <c r="AP61" s="9" t="s">
        <v>1184</v>
      </c>
      <c r="AQ61" s="9" t="s">
        <v>1185</v>
      </c>
      <c r="AR61" s="10" t="s">
        <v>281</v>
      </c>
      <c r="AS61" s="10" t="n">
        <v>9</v>
      </c>
      <c r="AT61" s="10" t="n">
        <v>8</v>
      </c>
      <c r="AU61" s="10" t="n">
        <v>7</v>
      </c>
      <c r="AV61" s="10" t="n">
        <v>8</v>
      </c>
      <c r="AW61" s="10" t="n">
        <v>7</v>
      </c>
      <c r="AX61" s="9" t="s">
        <v>1186</v>
      </c>
    </row>
    <row r="62" customFormat="false" ht="60" hidden="false" customHeight="true" outlineLevel="0" collapsed="false">
      <c r="A62" s="9" t="s">
        <v>1187</v>
      </c>
      <c r="B62" s="9" t="s">
        <v>1188</v>
      </c>
      <c r="C62" s="9" t="s">
        <v>17</v>
      </c>
      <c r="D62" s="9" t="s">
        <v>1189</v>
      </c>
      <c r="E62" s="9" t="s">
        <v>1190</v>
      </c>
      <c r="F62" s="9" t="s">
        <v>1191</v>
      </c>
      <c r="G62" s="9" t="s">
        <v>1192</v>
      </c>
      <c r="H62" s="9" t="s">
        <v>7</v>
      </c>
      <c r="I62" s="9" t="s">
        <v>102</v>
      </c>
      <c r="J62" s="9" t="s">
        <v>28</v>
      </c>
      <c r="K62" s="9" t="s">
        <v>138</v>
      </c>
      <c r="L62" s="9" t="s">
        <v>139</v>
      </c>
      <c r="M62" s="9" t="s">
        <v>1193</v>
      </c>
      <c r="N62" s="9" t="s">
        <v>1194</v>
      </c>
      <c r="O62" s="9" t="s">
        <v>1195</v>
      </c>
      <c r="P62" s="9" t="s">
        <v>1196</v>
      </c>
      <c r="Q62" s="9" t="s">
        <v>109</v>
      </c>
      <c r="R62" s="9" t="s">
        <v>144</v>
      </c>
      <c r="S62" s="9" t="s">
        <v>111</v>
      </c>
      <c r="T62" s="9" t="s">
        <v>112</v>
      </c>
      <c r="U62" s="9" t="s">
        <v>113</v>
      </c>
      <c r="V62" s="9" t="s">
        <v>114</v>
      </c>
      <c r="W62" s="9" t="s">
        <v>115</v>
      </c>
      <c r="X62" s="9" t="s">
        <v>116</v>
      </c>
      <c r="Y62" s="9" t="s">
        <v>117</v>
      </c>
      <c r="Z62" s="9" t="s">
        <v>118</v>
      </c>
      <c r="AA62" s="9" t="s">
        <v>145</v>
      </c>
      <c r="AB62" s="9" t="s">
        <v>122</v>
      </c>
      <c r="AC62" s="9" t="s">
        <v>146</v>
      </c>
      <c r="AD62" s="9" t="s">
        <v>121</v>
      </c>
      <c r="AE62" s="9" t="s">
        <v>122</v>
      </c>
      <c r="AF62" s="9" t="s">
        <v>122</v>
      </c>
      <c r="AG62" s="9" t="s">
        <v>109</v>
      </c>
      <c r="AH62" s="9" t="s">
        <v>122</v>
      </c>
      <c r="AI62" s="9" t="s">
        <v>109</v>
      </c>
      <c r="AJ62" s="9" t="s">
        <v>109</v>
      </c>
      <c r="AK62" s="9" t="s">
        <v>1197</v>
      </c>
      <c r="AL62" s="9" t="s">
        <v>1198</v>
      </c>
      <c r="AM62" s="9" t="s">
        <v>1199</v>
      </c>
      <c r="AN62" s="9" t="s">
        <v>1200</v>
      </c>
      <c r="AO62" s="9" t="s">
        <v>1201</v>
      </c>
      <c r="AP62" s="9" t="s">
        <v>1202</v>
      </c>
      <c r="AQ62" s="9" t="s">
        <v>1203</v>
      </c>
      <c r="AR62" s="10" t="s">
        <v>130</v>
      </c>
      <c r="AS62" s="10" t="n">
        <v>6</v>
      </c>
      <c r="AT62" s="10" t="n">
        <v>5</v>
      </c>
      <c r="AU62" s="10" t="n">
        <v>4</v>
      </c>
      <c r="AV62" s="10" t="n">
        <v>4</v>
      </c>
      <c r="AW62" s="10" t="n">
        <v>2</v>
      </c>
      <c r="AX62" s="9" t="s">
        <v>1204</v>
      </c>
    </row>
    <row r="63" customFormat="false" ht="60" hidden="false" customHeight="true" outlineLevel="0" collapsed="false">
      <c r="A63" s="9" t="s">
        <v>1205</v>
      </c>
      <c r="B63" s="9" t="s">
        <v>1206</v>
      </c>
      <c r="C63" s="9" t="s">
        <v>17</v>
      </c>
      <c r="D63" s="9" t="s">
        <v>1207</v>
      </c>
      <c r="E63" s="9" t="s">
        <v>1208</v>
      </c>
      <c r="F63" s="9" t="s">
        <v>1209</v>
      </c>
      <c r="G63" s="9" t="s">
        <v>1210</v>
      </c>
      <c r="H63" s="9" t="s">
        <v>7</v>
      </c>
      <c r="I63" s="9" t="s">
        <v>102</v>
      </c>
      <c r="J63" s="9" t="s">
        <v>28</v>
      </c>
      <c r="K63" s="9" t="s">
        <v>138</v>
      </c>
      <c r="L63" s="9" t="s">
        <v>139</v>
      </c>
      <c r="M63" s="9" t="s">
        <v>1211</v>
      </c>
      <c r="N63" s="9" t="s">
        <v>1212</v>
      </c>
      <c r="O63" s="9" t="s">
        <v>1213</v>
      </c>
      <c r="P63" s="9" t="s">
        <v>252</v>
      </c>
      <c r="Q63" s="9" t="s">
        <v>122</v>
      </c>
      <c r="R63" s="9" t="s">
        <v>144</v>
      </c>
      <c r="S63" s="9" t="s">
        <v>111</v>
      </c>
      <c r="T63" s="9" t="s">
        <v>112</v>
      </c>
      <c r="U63" s="9" t="s">
        <v>113</v>
      </c>
      <c r="V63" s="9" t="s">
        <v>114</v>
      </c>
      <c r="W63" s="9" t="s">
        <v>115</v>
      </c>
      <c r="X63" s="9" t="s">
        <v>116</v>
      </c>
      <c r="Y63" s="9" t="s">
        <v>117</v>
      </c>
      <c r="Z63" s="9" t="s">
        <v>118</v>
      </c>
      <c r="AA63" s="9" t="s">
        <v>145</v>
      </c>
      <c r="AB63" s="9" t="s">
        <v>122</v>
      </c>
      <c r="AC63" s="9" t="s">
        <v>146</v>
      </c>
      <c r="AD63" s="9" t="s">
        <v>121</v>
      </c>
      <c r="AE63" s="9" t="s">
        <v>122</v>
      </c>
      <c r="AF63" s="9" t="s">
        <v>122</v>
      </c>
      <c r="AG63" s="9" t="s">
        <v>109</v>
      </c>
      <c r="AH63" s="9" t="s">
        <v>122</v>
      </c>
      <c r="AI63" s="9" t="s">
        <v>109</v>
      </c>
      <c r="AJ63" s="9" t="s">
        <v>109</v>
      </c>
      <c r="AK63" s="9" t="s">
        <v>1214</v>
      </c>
      <c r="AL63" s="9" t="s">
        <v>1215</v>
      </c>
      <c r="AM63" s="9" t="s">
        <v>1216</v>
      </c>
      <c r="AN63" s="9" t="s">
        <v>1217</v>
      </c>
      <c r="AO63" s="9" t="s">
        <v>1201</v>
      </c>
      <c r="AP63" s="9" t="s">
        <v>1218</v>
      </c>
      <c r="AQ63" s="9" t="s">
        <v>1219</v>
      </c>
      <c r="AR63" s="10" t="s">
        <v>130</v>
      </c>
      <c r="AS63" s="10" t="n">
        <v>5</v>
      </c>
      <c r="AT63" s="10" t="n">
        <v>4</v>
      </c>
      <c r="AU63" s="10" t="n">
        <v>4</v>
      </c>
      <c r="AV63" s="10" t="n">
        <v>2</v>
      </c>
      <c r="AW63" s="10" t="n">
        <v>1</v>
      </c>
      <c r="AX63" s="9" t="s">
        <v>1220</v>
      </c>
    </row>
    <row r="64" customFormat="false" ht="60" hidden="false" customHeight="true" outlineLevel="0" collapsed="false">
      <c r="A64" s="9" t="s">
        <v>1221</v>
      </c>
      <c r="B64" s="9" t="s">
        <v>1222</v>
      </c>
      <c r="C64" s="9" t="s">
        <v>17</v>
      </c>
      <c r="D64" s="9" t="s">
        <v>1223</v>
      </c>
      <c r="E64" s="9" t="s">
        <v>1224</v>
      </c>
      <c r="F64" s="9" t="s">
        <v>1225</v>
      </c>
      <c r="G64" s="9" t="s">
        <v>1226</v>
      </c>
      <c r="H64" s="9" t="s">
        <v>9</v>
      </c>
      <c r="I64" s="9" t="s">
        <v>160</v>
      </c>
      <c r="J64" s="9" t="s">
        <v>28</v>
      </c>
      <c r="K64" s="9" t="s">
        <v>138</v>
      </c>
      <c r="L64" s="9" t="s">
        <v>139</v>
      </c>
      <c r="M64" s="9" t="s">
        <v>1227</v>
      </c>
      <c r="N64" s="9" t="s">
        <v>1228</v>
      </c>
      <c r="O64" s="9" t="s">
        <v>1229</v>
      </c>
      <c r="P64" s="9" t="s">
        <v>1230</v>
      </c>
      <c r="Q64" s="9" t="s">
        <v>122</v>
      </c>
      <c r="R64" s="9" t="s">
        <v>144</v>
      </c>
      <c r="S64" s="9" t="s">
        <v>168</v>
      </c>
      <c r="T64" s="9" t="s">
        <v>169</v>
      </c>
      <c r="U64" s="9" t="s">
        <v>113</v>
      </c>
      <c r="V64" s="9" t="s">
        <v>114</v>
      </c>
      <c r="W64" s="9" t="s">
        <v>115</v>
      </c>
      <c r="X64" s="9" t="s">
        <v>116</v>
      </c>
      <c r="Y64" s="9" t="s">
        <v>117</v>
      </c>
      <c r="Z64" s="9" t="s">
        <v>118</v>
      </c>
      <c r="AA64" s="9" t="s">
        <v>145</v>
      </c>
      <c r="AB64" s="9" t="s">
        <v>122</v>
      </c>
      <c r="AC64" s="9" t="s">
        <v>146</v>
      </c>
      <c r="AD64" s="9" t="s">
        <v>121</v>
      </c>
      <c r="AE64" s="9" t="s">
        <v>122</v>
      </c>
      <c r="AF64" s="9" t="s">
        <v>122</v>
      </c>
      <c r="AG64" s="9" t="s">
        <v>109</v>
      </c>
      <c r="AH64" s="9" t="s">
        <v>122</v>
      </c>
      <c r="AI64" s="9" t="s">
        <v>109</v>
      </c>
      <c r="AJ64" s="9" t="s">
        <v>109</v>
      </c>
      <c r="AK64" s="9" t="s">
        <v>1231</v>
      </c>
      <c r="AL64" s="9" t="s">
        <v>1232</v>
      </c>
      <c r="AM64" s="9" t="s">
        <v>1233</v>
      </c>
      <c r="AN64" s="9" t="s">
        <v>1234</v>
      </c>
      <c r="AO64" s="9" t="s">
        <v>1201</v>
      </c>
      <c r="AP64" s="9" t="s">
        <v>1235</v>
      </c>
      <c r="AQ64" s="9" t="s">
        <v>1236</v>
      </c>
      <c r="AR64" s="10" t="s">
        <v>177</v>
      </c>
      <c r="AS64" s="10" t="n">
        <v>7</v>
      </c>
      <c r="AT64" s="10" t="n">
        <v>6</v>
      </c>
      <c r="AU64" s="10" t="n">
        <v>6</v>
      </c>
      <c r="AV64" s="10" t="n">
        <v>6</v>
      </c>
      <c r="AW64" s="10" t="n">
        <v>3</v>
      </c>
      <c r="AX64" s="9" t="s">
        <v>1220</v>
      </c>
    </row>
    <row r="65" customFormat="false" ht="60" hidden="false" customHeight="true" outlineLevel="0" collapsed="false">
      <c r="A65" s="9" t="s">
        <v>1237</v>
      </c>
      <c r="B65" s="9" t="s">
        <v>1238</v>
      </c>
      <c r="C65" s="9" t="s">
        <v>17</v>
      </c>
      <c r="D65" s="9" t="s">
        <v>1239</v>
      </c>
      <c r="E65" s="9" t="s">
        <v>1240</v>
      </c>
      <c r="F65" s="9" t="s">
        <v>1241</v>
      </c>
      <c r="G65" s="9" t="s">
        <v>1242</v>
      </c>
      <c r="H65" s="9" t="s">
        <v>9</v>
      </c>
      <c r="I65" s="9" t="s">
        <v>160</v>
      </c>
      <c r="J65" s="9" t="s">
        <v>28</v>
      </c>
      <c r="K65" s="9" t="s">
        <v>138</v>
      </c>
      <c r="L65" s="9" t="s">
        <v>139</v>
      </c>
      <c r="M65" s="9" t="s">
        <v>1243</v>
      </c>
      <c r="N65" s="9" t="s">
        <v>1244</v>
      </c>
      <c r="O65" s="9" t="s">
        <v>1245</v>
      </c>
      <c r="P65" s="9" t="s">
        <v>459</v>
      </c>
      <c r="Q65" s="9" t="s">
        <v>235</v>
      </c>
      <c r="R65" s="9" t="s">
        <v>144</v>
      </c>
      <c r="S65" s="9" t="s">
        <v>168</v>
      </c>
      <c r="T65" s="9" t="s">
        <v>169</v>
      </c>
      <c r="U65" s="9" t="s">
        <v>113</v>
      </c>
      <c r="V65" s="9" t="s">
        <v>114</v>
      </c>
      <c r="W65" s="9" t="s">
        <v>115</v>
      </c>
      <c r="X65" s="9" t="s">
        <v>116</v>
      </c>
      <c r="Y65" s="9" t="s">
        <v>117</v>
      </c>
      <c r="Z65" s="9" t="s">
        <v>118</v>
      </c>
      <c r="AA65" s="9" t="s">
        <v>145</v>
      </c>
      <c r="AB65" s="9" t="s">
        <v>122</v>
      </c>
      <c r="AC65" s="9" t="s">
        <v>146</v>
      </c>
      <c r="AD65" s="9" t="s">
        <v>121</v>
      </c>
      <c r="AE65" s="9" t="s">
        <v>122</v>
      </c>
      <c r="AF65" s="9" t="s">
        <v>122</v>
      </c>
      <c r="AG65" s="9" t="s">
        <v>109</v>
      </c>
      <c r="AH65" s="9" t="s">
        <v>122</v>
      </c>
      <c r="AI65" s="9" t="s">
        <v>109</v>
      </c>
      <c r="AJ65" s="9" t="s">
        <v>109</v>
      </c>
      <c r="AK65" s="9" t="s">
        <v>1246</v>
      </c>
      <c r="AL65" s="9" t="s">
        <v>1247</v>
      </c>
      <c r="AM65" s="9" t="s">
        <v>1248</v>
      </c>
      <c r="AN65" s="9" t="s">
        <v>1249</v>
      </c>
      <c r="AO65" s="9" t="s">
        <v>1201</v>
      </c>
      <c r="AP65" s="9" t="s">
        <v>1250</v>
      </c>
      <c r="AQ65" s="9" t="s">
        <v>1251</v>
      </c>
      <c r="AR65" s="10" t="s">
        <v>177</v>
      </c>
      <c r="AS65" s="10" t="n">
        <v>6</v>
      </c>
      <c r="AT65" s="10" t="n">
        <v>6</v>
      </c>
      <c r="AU65" s="10" t="n">
        <v>6</v>
      </c>
      <c r="AV65" s="10" t="n">
        <v>6</v>
      </c>
      <c r="AW65" s="10" t="n">
        <v>3</v>
      </c>
      <c r="AX65" s="9" t="s">
        <v>1252</v>
      </c>
    </row>
    <row r="66" customFormat="false" ht="60" hidden="false" customHeight="true" outlineLevel="0" collapsed="false">
      <c r="A66" s="9" t="s">
        <v>1253</v>
      </c>
      <c r="B66" s="9" t="s">
        <v>1254</v>
      </c>
      <c r="C66" s="9" t="s">
        <v>10</v>
      </c>
      <c r="D66" s="9" t="s">
        <v>1255</v>
      </c>
      <c r="E66" s="9" t="s">
        <v>1256</v>
      </c>
      <c r="F66" s="9" t="s">
        <v>1257</v>
      </c>
      <c r="G66" s="9" t="s">
        <v>1258</v>
      </c>
      <c r="H66" s="9" t="s">
        <v>11</v>
      </c>
      <c r="I66" s="9" t="s">
        <v>202</v>
      </c>
      <c r="J66" s="9" t="s">
        <v>24</v>
      </c>
      <c r="K66" s="9" t="s">
        <v>434</v>
      </c>
      <c r="L66" s="9" t="s">
        <v>435</v>
      </c>
      <c r="M66" s="9" t="s">
        <v>1259</v>
      </c>
      <c r="N66" s="9" t="s">
        <v>1260</v>
      </c>
      <c r="O66" s="9" t="s">
        <v>1261</v>
      </c>
      <c r="P66" s="9" t="s">
        <v>1262</v>
      </c>
      <c r="Q66" s="9" t="s">
        <v>122</v>
      </c>
      <c r="R66" s="9" t="s">
        <v>440</v>
      </c>
      <c r="S66" s="9" t="s">
        <v>209</v>
      </c>
      <c r="T66" s="9" t="s">
        <v>210</v>
      </c>
      <c r="U66" s="9" t="s">
        <v>113</v>
      </c>
      <c r="V66" s="9" t="s">
        <v>114</v>
      </c>
      <c r="W66" s="9" t="s">
        <v>211</v>
      </c>
      <c r="X66" s="9" t="s">
        <v>116</v>
      </c>
      <c r="Y66" s="9" t="s">
        <v>212</v>
      </c>
      <c r="Z66" s="9" t="s">
        <v>213</v>
      </c>
      <c r="AA66" s="9" t="s">
        <v>145</v>
      </c>
      <c r="AB66" s="9" t="s">
        <v>122</v>
      </c>
      <c r="AC66" s="9" t="s">
        <v>441</v>
      </c>
      <c r="AD66" s="9" t="s">
        <v>215</v>
      </c>
      <c r="AE66" s="9" t="s">
        <v>122</v>
      </c>
      <c r="AF66" s="9" t="s">
        <v>122</v>
      </c>
      <c r="AG66" s="9" t="s">
        <v>122</v>
      </c>
      <c r="AH66" s="9" t="s">
        <v>122</v>
      </c>
      <c r="AI66" s="9" t="s">
        <v>109</v>
      </c>
      <c r="AJ66" s="9" t="s">
        <v>109</v>
      </c>
      <c r="AK66" s="9" t="s">
        <v>1263</v>
      </c>
      <c r="AL66" s="9" t="s">
        <v>1264</v>
      </c>
      <c r="AM66" s="9" t="s">
        <v>1265</v>
      </c>
      <c r="AN66" s="9" t="s">
        <v>1266</v>
      </c>
      <c r="AO66" s="9" t="s">
        <v>1267</v>
      </c>
      <c r="AP66" s="9" t="s">
        <v>367</v>
      </c>
      <c r="AQ66" s="9" t="s">
        <v>1268</v>
      </c>
      <c r="AR66" s="10" t="s">
        <v>223</v>
      </c>
      <c r="AS66" s="10" t="n">
        <v>7</v>
      </c>
      <c r="AT66" s="10" t="n">
        <v>9</v>
      </c>
      <c r="AU66" s="10" t="n">
        <v>7</v>
      </c>
      <c r="AV66" s="10" t="n">
        <v>7</v>
      </c>
      <c r="AW66" s="10" t="n">
        <v>7</v>
      </c>
      <c r="AX66" s="9" t="s">
        <v>1269</v>
      </c>
    </row>
    <row r="67" customFormat="false" ht="60" hidden="false" customHeight="true" outlineLevel="0" collapsed="false">
      <c r="A67" s="9" t="s">
        <v>1270</v>
      </c>
      <c r="B67" s="9" t="s">
        <v>1271</v>
      </c>
      <c r="C67" s="9" t="s">
        <v>10</v>
      </c>
      <c r="D67" s="9" t="s">
        <v>1272</v>
      </c>
      <c r="E67" s="9" t="s">
        <v>1273</v>
      </c>
      <c r="F67" s="9" t="s">
        <v>1274</v>
      </c>
      <c r="G67" s="9" t="s">
        <v>1275</v>
      </c>
      <c r="H67" s="9" t="s">
        <v>11</v>
      </c>
      <c r="I67" s="9" t="s">
        <v>202</v>
      </c>
      <c r="J67" s="9" t="s">
        <v>28</v>
      </c>
      <c r="K67" s="9" t="s">
        <v>138</v>
      </c>
      <c r="L67" s="9" t="s">
        <v>139</v>
      </c>
      <c r="M67" s="9" t="s">
        <v>1276</v>
      </c>
      <c r="N67" s="9" t="s">
        <v>1277</v>
      </c>
      <c r="O67" s="9" t="s">
        <v>1278</v>
      </c>
      <c r="P67" s="9" t="s">
        <v>1094</v>
      </c>
      <c r="Q67" s="9" t="s">
        <v>109</v>
      </c>
      <c r="R67" s="9" t="s">
        <v>144</v>
      </c>
      <c r="S67" s="9" t="s">
        <v>209</v>
      </c>
      <c r="T67" s="9" t="s">
        <v>210</v>
      </c>
      <c r="U67" s="9" t="s">
        <v>113</v>
      </c>
      <c r="V67" s="9" t="s">
        <v>114</v>
      </c>
      <c r="W67" s="9" t="s">
        <v>211</v>
      </c>
      <c r="X67" s="9" t="s">
        <v>116</v>
      </c>
      <c r="Y67" s="9" t="s">
        <v>212</v>
      </c>
      <c r="Z67" s="9" t="s">
        <v>213</v>
      </c>
      <c r="AA67" s="9" t="s">
        <v>145</v>
      </c>
      <c r="AB67" s="9" t="s">
        <v>122</v>
      </c>
      <c r="AC67" s="9" t="s">
        <v>146</v>
      </c>
      <c r="AD67" s="9" t="s">
        <v>215</v>
      </c>
      <c r="AE67" s="9" t="s">
        <v>122</v>
      </c>
      <c r="AF67" s="9" t="s">
        <v>122</v>
      </c>
      <c r="AG67" s="9" t="s">
        <v>109</v>
      </c>
      <c r="AH67" s="9" t="s">
        <v>122</v>
      </c>
      <c r="AI67" s="9" t="s">
        <v>109</v>
      </c>
      <c r="AJ67" s="9" t="s">
        <v>109</v>
      </c>
      <c r="AK67" s="9" t="s">
        <v>1279</v>
      </c>
      <c r="AL67" s="9" t="s">
        <v>1280</v>
      </c>
      <c r="AM67" s="9" t="s">
        <v>1281</v>
      </c>
      <c r="AN67" s="9" t="s">
        <v>1282</v>
      </c>
      <c r="AO67" s="9" t="s">
        <v>1267</v>
      </c>
      <c r="AP67" s="9" t="s">
        <v>1283</v>
      </c>
      <c r="AQ67" s="9" t="s">
        <v>1284</v>
      </c>
      <c r="AR67" s="10" t="s">
        <v>223</v>
      </c>
      <c r="AS67" s="10" t="n">
        <v>8</v>
      </c>
      <c r="AT67" s="10" t="n">
        <v>7</v>
      </c>
      <c r="AU67" s="10" t="n">
        <v>8</v>
      </c>
      <c r="AV67" s="10" t="n">
        <v>7</v>
      </c>
      <c r="AW67" s="10" t="n">
        <v>7</v>
      </c>
      <c r="AX67" s="9" t="s">
        <v>1285</v>
      </c>
    </row>
    <row r="68" customFormat="false" ht="60" hidden="false" customHeight="true" outlineLevel="0" collapsed="false">
      <c r="A68" s="9" t="s">
        <v>1286</v>
      </c>
      <c r="B68" s="9" t="s">
        <v>1287</v>
      </c>
      <c r="C68" s="9" t="s">
        <v>10</v>
      </c>
      <c r="D68" s="9" t="s">
        <v>1288</v>
      </c>
      <c r="E68" s="9" t="s">
        <v>1289</v>
      </c>
      <c r="F68" s="9" t="s">
        <v>1290</v>
      </c>
      <c r="G68" s="9" t="s">
        <v>1291</v>
      </c>
      <c r="H68" s="9" t="s">
        <v>11</v>
      </c>
      <c r="I68" s="9" t="s">
        <v>202</v>
      </c>
      <c r="J68" s="9" t="s">
        <v>24</v>
      </c>
      <c r="K68" s="9" t="s">
        <v>434</v>
      </c>
      <c r="L68" s="9" t="s">
        <v>435</v>
      </c>
      <c r="M68" s="9" t="s">
        <v>1292</v>
      </c>
      <c r="N68" s="9" t="s">
        <v>1293</v>
      </c>
      <c r="O68" s="9" t="s">
        <v>1294</v>
      </c>
      <c r="P68" s="9" t="s">
        <v>1295</v>
      </c>
      <c r="Q68" s="9" t="s">
        <v>109</v>
      </c>
      <c r="R68" s="9" t="s">
        <v>440</v>
      </c>
      <c r="S68" s="9" t="s">
        <v>209</v>
      </c>
      <c r="T68" s="9" t="s">
        <v>210</v>
      </c>
      <c r="U68" s="9" t="s">
        <v>113</v>
      </c>
      <c r="V68" s="9" t="s">
        <v>114</v>
      </c>
      <c r="W68" s="9" t="s">
        <v>211</v>
      </c>
      <c r="X68" s="9" t="s">
        <v>116</v>
      </c>
      <c r="Y68" s="9" t="s">
        <v>212</v>
      </c>
      <c r="Z68" s="9" t="s">
        <v>213</v>
      </c>
      <c r="AA68" s="9" t="s">
        <v>145</v>
      </c>
      <c r="AB68" s="9" t="s">
        <v>122</v>
      </c>
      <c r="AC68" s="9" t="s">
        <v>441</v>
      </c>
      <c r="AD68" s="9" t="s">
        <v>215</v>
      </c>
      <c r="AE68" s="9" t="s">
        <v>122</v>
      </c>
      <c r="AF68" s="9" t="s">
        <v>122</v>
      </c>
      <c r="AG68" s="9" t="s">
        <v>122</v>
      </c>
      <c r="AH68" s="9" t="s">
        <v>122</v>
      </c>
      <c r="AI68" s="9" t="s">
        <v>109</v>
      </c>
      <c r="AJ68" s="9" t="s">
        <v>109</v>
      </c>
      <c r="AK68" s="9" t="s">
        <v>1296</v>
      </c>
      <c r="AL68" s="9" t="s">
        <v>1297</v>
      </c>
      <c r="AM68" s="9" t="s">
        <v>1298</v>
      </c>
      <c r="AN68" s="9" t="s">
        <v>1299</v>
      </c>
      <c r="AO68" s="9" t="s">
        <v>1267</v>
      </c>
      <c r="AP68" s="9" t="s">
        <v>1300</v>
      </c>
      <c r="AQ68" s="9" t="s">
        <v>1301</v>
      </c>
      <c r="AR68" s="10" t="s">
        <v>223</v>
      </c>
      <c r="AS68" s="10" t="n">
        <v>9</v>
      </c>
      <c r="AT68" s="10" t="n">
        <v>8</v>
      </c>
      <c r="AU68" s="10" t="n">
        <v>8</v>
      </c>
      <c r="AV68" s="10" t="n">
        <v>6</v>
      </c>
      <c r="AW68" s="10" t="n">
        <v>5</v>
      </c>
      <c r="AX68" s="9" t="s">
        <v>1302</v>
      </c>
    </row>
    <row r="69" customFormat="false" ht="60" hidden="false" customHeight="true" outlineLevel="0" collapsed="false">
      <c r="A69" s="9" t="s">
        <v>1303</v>
      </c>
      <c r="B69" s="9" t="s">
        <v>1304</v>
      </c>
      <c r="C69" s="9" t="s">
        <v>10</v>
      </c>
      <c r="D69" s="9" t="s">
        <v>1305</v>
      </c>
      <c r="E69" s="9" t="s">
        <v>1306</v>
      </c>
      <c r="F69" s="9" t="s">
        <v>1307</v>
      </c>
      <c r="G69" s="9" t="s">
        <v>1308</v>
      </c>
      <c r="H69" s="9" t="s">
        <v>13</v>
      </c>
      <c r="I69" s="9" t="s">
        <v>267</v>
      </c>
      <c r="J69" s="9" t="s">
        <v>22</v>
      </c>
      <c r="K69" s="9" t="s">
        <v>376</v>
      </c>
      <c r="L69" s="9" t="s">
        <v>377</v>
      </c>
      <c r="M69" s="9" t="s">
        <v>1309</v>
      </c>
      <c r="N69" s="9" t="s">
        <v>1310</v>
      </c>
      <c r="O69" s="9" t="s">
        <v>1311</v>
      </c>
      <c r="P69" s="9" t="s">
        <v>1312</v>
      </c>
      <c r="Q69" s="9" t="s">
        <v>109</v>
      </c>
      <c r="R69" s="9" t="s">
        <v>717</v>
      </c>
      <c r="S69" s="9" t="s">
        <v>272</v>
      </c>
      <c r="T69" s="9" t="s">
        <v>273</v>
      </c>
      <c r="U69" s="9" t="s">
        <v>113</v>
      </c>
      <c r="V69" s="9" t="s">
        <v>274</v>
      </c>
      <c r="W69" s="9" t="s">
        <v>211</v>
      </c>
      <c r="X69" s="9" t="s">
        <v>116</v>
      </c>
      <c r="Y69" s="9" t="s">
        <v>212</v>
      </c>
      <c r="Z69" s="9" t="s">
        <v>213</v>
      </c>
      <c r="AA69" s="9" t="s">
        <v>119</v>
      </c>
      <c r="AB69" s="9" t="s">
        <v>109</v>
      </c>
      <c r="AC69" s="9" t="s">
        <v>383</v>
      </c>
      <c r="AD69" s="9" t="s">
        <v>215</v>
      </c>
      <c r="AE69" s="9" t="s">
        <v>122</v>
      </c>
      <c r="AF69" s="9" t="s">
        <v>122</v>
      </c>
      <c r="AG69" s="9" t="s">
        <v>122</v>
      </c>
      <c r="AH69" s="9" t="s">
        <v>122</v>
      </c>
      <c r="AI69" s="9" t="s">
        <v>122</v>
      </c>
      <c r="AJ69" s="9" t="s">
        <v>109</v>
      </c>
      <c r="AK69" s="9" t="s">
        <v>1313</v>
      </c>
      <c r="AL69" s="9" t="s">
        <v>1314</v>
      </c>
      <c r="AM69" s="9" t="s">
        <v>1315</v>
      </c>
      <c r="AN69" s="9" t="s">
        <v>1316</v>
      </c>
      <c r="AO69" s="9" t="s">
        <v>1267</v>
      </c>
      <c r="AP69" s="9" t="s">
        <v>367</v>
      </c>
      <c r="AQ69" s="9" t="s">
        <v>1317</v>
      </c>
      <c r="AR69" s="10" t="s">
        <v>281</v>
      </c>
      <c r="AS69" s="10" t="n">
        <v>8</v>
      </c>
      <c r="AT69" s="10" t="n">
        <v>8</v>
      </c>
      <c r="AU69" s="10" t="n">
        <v>9</v>
      </c>
      <c r="AV69" s="10" t="n">
        <v>8</v>
      </c>
      <c r="AW69" s="10" t="n">
        <v>9</v>
      </c>
      <c r="AX69" s="9" t="s">
        <v>1318</v>
      </c>
    </row>
    <row r="70" customFormat="false" ht="60" hidden="false" customHeight="true" outlineLevel="0" collapsed="false">
      <c r="A70" s="9" t="s">
        <v>1319</v>
      </c>
      <c r="B70" s="9" t="s">
        <v>1320</v>
      </c>
      <c r="C70" s="9" t="s">
        <v>39</v>
      </c>
      <c r="D70" s="9" t="s">
        <v>1321</v>
      </c>
      <c r="E70" s="9" t="s">
        <v>1322</v>
      </c>
      <c r="F70" s="9" t="s">
        <v>1323</v>
      </c>
      <c r="G70" s="9" t="s">
        <v>1324</v>
      </c>
      <c r="H70" s="9" t="s">
        <v>13</v>
      </c>
      <c r="I70" s="9" t="s">
        <v>267</v>
      </c>
      <c r="J70" s="9" t="s">
        <v>26</v>
      </c>
      <c r="K70" s="9" t="s">
        <v>161</v>
      </c>
      <c r="L70" s="9" t="s">
        <v>162</v>
      </c>
      <c r="M70" s="9" t="s">
        <v>1325</v>
      </c>
      <c r="N70" s="9" t="s">
        <v>1326</v>
      </c>
      <c r="O70" s="9" t="s">
        <v>1327</v>
      </c>
      <c r="P70" s="9" t="s">
        <v>1328</v>
      </c>
      <c r="Q70" s="9" t="s">
        <v>235</v>
      </c>
      <c r="R70" s="9" t="s">
        <v>167</v>
      </c>
      <c r="S70" s="9" t="s">
        <v>272</v>
      </c>
      <c r="T70" s="9" t="s">
        <v>273</v>
      </c>
      <c r="U70" s="9" t="s">
        <v>113</v>
      </c>
      <c r="V70" s="9" t="s">
        <v>274</v>
      </c>
      <c r="W70" s="9" t="s">
        <v>211</v>
      </c>
      <c r="X70" s="9" t="s">
        <v>116</v>
      </c>
      <c r="Y70" s="9" t="s">
        <v>212</v>
      </c>
      <c r="Z70" s="9" t="s">
        <v>213</v>
      </c>
      <c r="AA70" s="9" t="s">
        <v>119</v>
      </c>
      <c r="AB70" s="9" t="s">
        <v>109</v>
      </c>
      <c r="AC70" s="9" t="s">
        <v>170</v>
      </c>
      <c r="AD70" s="9" t="s">
        <v>215</v>
      </c>
      <c r="AE70" s="9" t="s">
        <v>122</v>
      </c>
      <c r="AF70" s="9" t="s">
        <v>122</v>
      </c>
      <c r="AG70" s="9" t="s">
        <v>122</v>
      </c>
      <c r="AH70" s="9" t="s">
        <v>122</v>
      </c>
      <c r="AI70" s="9" t="s">
        <v>109</v>
      </c>
      <c r="AJ70" s="9" t="s">
        <v>109</v>
      </c>
      <c r="AK70" s="9" t="s">
        <v>1329</v>
      </c>
      <c r="AL70" s="9" t="s">
        <v>1330</v>
      </c>
      <c r="AM70" s="9" t="s">
        <v>1331</v>
      </c>
      <c r="AN70" s="9" t="s">
        <v>1332</v>
      </c>
      <c r="AO70" s="9" t="s">
        <v>1333</v>
      </c>
      <c r="AP70" s="9" t="s">
        <v>367</v>
      </c>
      <c r="AQ70" s="9" t="s">
        <v>1334</v>
      </c>
      <c r="AR70" s="10" t="s">
        <v>281</v>
      </c>
      <c r="AS70" s="10" t="n">
        <v>9</v>
      </c>
      <c r="AT70" s="10" t="n">
        <v>9</v>
      </c>
      <c r="AU70" s="10" t="n">
        <v>7</v>
      </c>
      <c r="AV70" s="10" t="n">
        <v>9</v>
      </c>
      <c r="AW70" s="10" t="n">
        <v>9</v>
      </c>
      <c r="AX70" s="9" t="s">
        <v>1335</v>
      </c>
    </row>
    <row r="71" customFormat="false" ht="60" hidden="false" customHeight="true" outlineLevel="0" collapsed="false">
      <c r="A71" s="9" t="s">
        <v>1336</v>
      </c>
      <c r="B71" s="9" t="s">
        <v>1337</v>
      </c>
      <c r="C71" s="9" t="s">
        <v>39</v>
      </c>
      <c r="D71" s="9" t="s">
        <v>1338</v>
      </c>
      <c r="E71" s="9" t="s">
        <v>1339</v>
      </c>
      <c r="F71" s="9" t="s">
        <v>1340</v>
      </c>
      <c r="G71" s="9" t="s">
        <v>1341</v>
      </c>
      <c r="H71" s="9" t="s">
        <v>13</v>
      </c>
      <c r="I71" s="9" t="s">
        <v>267</v>
      </c>
      <c r="J71" s="9" t="s">
        <v>26</v>
      </c>
      <c r="K71" s="9" t="s">
        <v>161</v>
      </c>
      <c r="L71" s="9" t="s">
        <v>162</v>
      </c>
      <c r="M71" s="9" t="s">
        <v>1342</v>
      </c>
      <c r="N71" s="9" t="s">
        <v>1343</v>
      </c>
      <c r="O71" s="9" t="s">
        <v>1344</v>
      </c>
      <c r="P71" s="9" t="s">
        <v>1345</v>
      </c>
      <c r="Q71" s="9" t="s">
        <v>109</v>
      </c>
      <c r="R71" s="9" t="s">
        <v>167</v>
      </c>
      <c r="S71" s="9" t="s">
        <v>272</v>
      </c>
      <c r="T71" s="9" t="s">
        <v>273</v>
      </c>
      <c r="U71" s="9" t="s">
        <v>113</v>
      </c>
      <c r="V71" s="9" t="s">
        <v>274</v>
      </c>
      <c r="W71" s="9" t="s">
        <v>211</v>
      </c>
      <c r="X71" s="9" t="s">
        <v>116</v>
      </c>
      <c r="Y71" s="9" t="s">
        <v>212</v>
      </c>
      <c r="Z71" s="9" t="s">
        <v>213</v>
      </c>
      <c r="AA71" s="9" t="s">
        <v>119</v>
      </c>
      <c r="AB71" s="9" t="s">
        <v>109</v>
      </c>
      <c r="AC71" s="9" t="s">
        <v>170</v>
      </c>
      <c r="AD71" s="9" t="s">
        <v>215</v>
      </c>
      <c r="AE71" s="9" t="s">
        <v>122</v>
      </c>
      <c r="AF71" s="9" t="s">
        <v>109</v>
      </c>
      <c r="AG71" s="9" t="s">
        <v>122</v>
      </c>
      <c r="AH71" s="9" t="s">
        <v>122</v>
      </c>
      <c r="AI71" s="9" t="s">
        <v>109</v>
      </c>
      <c r="AJ71" s="9" t="s">
        <v>109</v>
      </c>
      <c r="AK71" s="9" t="s">
        <v>1346</v>
      </c>
      <c r="AL71" s="9" t="s">
        <v>1347</v>
      </c>
      <c r="AM71" s="9" t="s">
        <v>1348</v>
      </c>
      <c r="AN71" s="9" t="s">
        <v>1349</v>
      </c>
      <c r="AO71" s="9" t="s">
        <v>1333</v>
      </c>
      <c r="AP71" s="9" t="s">
        <v>1350</v>
      </c>
      <c r="AQ71" s="9" t="s">
        <v>1351</v>
      </c>
      <c r="AR71" s="10" t="s">
        <v>281</v>
      </c>
      <c r="AS71" s="10" t="n">
        <v>10</v>
      </c>
      <c r="AT71" s="10" t="n">
        <v>9</v>
      </c>
      <c r="AU71" s="10" t="n">
        <v>8</v>
      </c>
      <c r="AV71" s="10" t="n">
        <v>8</v>
      </c>
      <c r="AW71" s="10" t="n">
        <v>8</v>
      </c>
      <c r="AX71" s="9" t="s">
        <v>1352</v>
      </c>
    </row>
    <row r="72" customFormat="false" ht="60" hidden="false" customHeight="true" outlineLevel="0" collapsed="false">
      <c r="A72" s="9" t="s">
        <v>1353</v>
      </c>
      <c r="B72" s="9" t="s">
        <v>1354</v>
      </c>
      <c r="C72" s="9" t="s">
        <v>39</v>
      </c>
      <c r="D72" s="9" t="s">
        <v>1355</v>
      </c>
      <c r="E72" s="9" t="s">
        <v>1356</v>
      </c>
      <c r="F72" s="9" t="s">
        <v>1357</v>
      </c>
      <c r="G72" s="9" t="s">
        <v>1358</v>
      </c>
      <c r="H72" s="9" t="s">
        <v>7</v>
      </c>
      <c r="I72" s="9" t="s">
        <v>102</v>
      </c>
      <c r="J72" s="9" t="s">
        <v>24</v>
      </c>
      <c r="K72" s="9" t="s">
        <v>434</v>
      </c>
      <c r="L72" s="9" t="s">
        <v>435</v>
      </c>
      <c r="M72" s="9" t="s">
        <v>1359</v>
      </c>
      <c r="N72" s="9" t="s">
        <v>1360</v>
      </c>
      <c r="O72" s="9" t="s">
        <v>1361</v>
      </c>
      <c r="P72" s="9" t="s">
        <v>1362</v>
      </c>
      <c r="Q72" s="9" t="s">
        <v>109</v>
      </c>
      <c r="R72" s="9" t="s">
        <v>440</v>
      </c>
      <c r="S72" s="9" t="s">
        <v>111</v>
      </c>
      <c r="T72" s="9" t="s">
        <v>112</v>
      </c>
      <c r="U72" s="9" t="s">
        <v>113</v>
      </c>
      <c r="V72" s="9" t="s">
        <v>114</v>
      </c>
      <c r="W72" s="9" t="s">
        <v>115</v>
      </c>
      <c r="X72" s="9" t="s">
        <v>116</v>
      </c>
      <c r="Y72" s="9" t="s">
        <v>117</v>
      </c>
      <c r="Z72" s="9" t="s">
        <v>118</v>
      </c>
      <c r="AA72" s="9" t="s">
        <v>145</v>
      </c>
      <c r="AB72" s="9" t="s">
        <v>122</v>
      </c>
      <c r="AC72" s="9" t="s">
        <v>441</v>
      </c>
      <c r="AD72" s="9" t="s">
        <v>121</v>
      </c>
      <c r="AE72" s="9" t="s">
        <v>122</v>
      </c>
      <c r="AF72" s="9" t="s">
        <v>122</v>
      </c>
      <c r="AG72" s="9" t="s">
        <v>122</v>
      </c>
      <c r="AH72" s="9" t="s">
        <v>122</v>
      </c>
      <c r="AI72" s="9" t="s">
        <v>109</v>
      </c>
      <c r="AJ72" s="9" t="s">
        <v>109</v>
      </c>
      <c r="AK72" s="9" t="s">
        <v>1363</v>
      </c>
      <c r="AL72" s="9" t="s">
        <v>1364</v>
      </c>
      <c r="AM72" s="9" t="s">
        <v>1365</v>
      </c>
      <c r="AN72" s="9" t="s">
        <v>1366</v>
      </c>
      <c r="AO72" s="9" t="s">
        <v>1333</v>
      </c>
      <c r="AP72" s="9" t="s">
        <v>367</v>
      </c>
      <c r="AQ72" s="9" t="s">
        <v>1367</v>
      </c>
      <c r="AR72" s="10" t="s">
        <v>130</v>
      </c>
      <c r="AS72" s="10" t="n">
        <v>5</v>
      </c>
      <c r="AT72" s="10" t="n">
        <v>4</v>
      </c>
      <c r="AU72" s="10" t="n">
        <v>4</v>
      </c>
      <c r="AV72" s="10" t="n">
        <v>4</v>
      </c>
      <c r="AW72" s="10" t="n">
        <v>2</v>
      </c>
      <c r="AX72" s="9" t="s">
        <v>1368</v>
      </c>
    </row>
    <row r="73" customFormat="false" ht="60" hidden="false" customHeight="true" outlineLevel="0" collapsed="false">
      <c r="A73" s="9" t="s">
        <v>1369</v>
      </c>
      <c r="B73" s="9" t="s">
        <v>1370</v>
      </c>
      <c r="C73" s="9" t="s">
        <v>39</v>
      </c>
      <c r="D73" s="9" t="s">
        <v>1371</v>
      </c>
      <c r="E73" s="9" t="s">
        <v>1372</v>
      </c>
      <c r="F73" s="9" t="s">
        <v>1373</v>
      </c>
      <c r="G73" s="9" t="s">
        <v>1374</v>
      </c>
      <c r="H73" s="9" t="s">
        <v>7</v>
      </c>
      <c r="I73" s="9" t="s">
        <v>102</v>
      </c>
      <c r="J73" s="9" t="s">
        <v>28</v>
      </c>
      <c r="K73" s="9" t="s">
        <v>138</v>
      </c>
      <c r="L73" s="9" t="s">
        <v>139</v>
      </c>
      <c r="M73" s="9" t="s">
        <v>1375</v>
      </c>
      <c r="N73" s="9" t="s">
        <v>1376</v>
      </c>
      <c r="O73" s="9" t="s">
        <v>1377</v>
      </c>
      <c r="P73" s="9" t="s">
        <v>252</v>
      </c>
      <c r="Q73" s="9" t="s">
        <v>235</v>
      </c>
      <c r="R73" s="9" t="s">
        <v>144</v>
      </c>
      <c r="S73" s="9" t="s">
        <v>111</v>
      </c>
      <c r="T73" s="9" t="s">
        <v>112</v>
      </c>
      <c r="U73" s="9" t="s">
        <v>113</v>
      </c>
      <c r="V73" s="9" t="s">
        <v>114</v>
      </c>
      <c r="W73" s="9" t="s">
        <v>115</v>
      </c>
      <c r="X73" s="9" t="s">
        <v>116</v>
      </c>
      <c r="Y73" s="9" t="s">
        <v>117</v>
      </c>
      <c r="Z73" s="9" t="s">
        <v>118</v>
      </c>
      <c r="AA73" s="9" t="s">
        <v>145</v>
      </c>
      <c r="AB73" s="9" t="s">
        <v>122</v>
      </c>
      <c r="AC73" s="9" t="s">
        <v>146</v>
      </c>
      <c r="AD73" s="9" t="s">
        <v>121</v>
      </c>
      <c r="AE73" s="9" t="s">
        <v>122</v>
      </c>
      <c r="AF73" s="9" t="s">
        <v>122</v>
      </c>
      <c r="AG73" s="9" t="s">
        <v>109</v>
      </c>
      <c r="AH73" s="9" t="s">
        <v>122</v>
      </c>
      <c r="AI73" s="9" t="s">
        <v>109</v>
      </c>
      <c r="AJ73" s="9" t="s">
        <v>109</v>
      </c>
      <c r="AK73" s="9" t="s">
        <v>1378</v>
      </c>
      <c r="AL73" s="9" t="s">
        <v>1379</v>
      </c>
      <c r="AM73" s="9" t="s">
        <v>1380</v>
      </c>
      <c r="AN73" s="9" t="s">
        <v>1381</v>
      </c>
      <c r="AO73" s="9" t="s">
        <v>1333</v>
      </c>
      <c r="AP73" s="9" t="s">
        <v>1382</v>
      </c>
      <c r="AQ73" s="9" t="s">
        <v>1383</v>
      </c>
      <c r="AR73" s="10" t="s">
        <v>130</v>
      </c>
      <c r="AS73" s="10" t="n">
        <v>5</v>
      </c>
      <c r="AT73" s="10" t="n">
        <v>5</v>
      </c>
      <c r="AU73" s="10" t="n">
        <v>3</v>
      </c>
      <c r="AV73" s="10" t="n">
        <v>2</v>
      </c>
      <c r="AW73" s="10" t="n">
        <v>3</v>
      </c>
      <c r="AX73" s="9" t="s">
        <v>1384</v>
      </c>
    </row>
    <row r="74" customFormat="false" ht="60" hidden="false" customHeight="true" outlineLevel="0" collapsed="false">
      <c r="A74" s="9" t="s">
        <v>1385</v>
      </c>
      <c r="B74" s="9" t="s">
        <v>1386</v>
      </c>
      <c r="C74" s="9" t="s">
        <v>37</v>
      </c>
      <c r="D74" s="9" t="s">
        <v>1387</v>
      </c>
      <c r="E74" s="9" t="s">
        <v>1388</v>
      </c>
      <c r="F74" s="9" t="s">
        <v>1389</v>
      </c>
      <c r="G74" s="9" t="s">
        <v>1390</v>
      </c>
      <c r="H74" s="9" t="s">
        <v>9</v>
      </c>
      <c r="I74" s="9" t="s">
        <v>160</v>
      </c>
      <c r="J74" s="9" t="s">
        <v>26</v>
      </c>
      <c r="K74" s="9" t="s">
        <v>396</v>
      </c>
      <c r="L74" s="9" t="s">
        <v>397</v>
      </c>
      <c r="M74" s="9" t="s">
        <v>1391</v>
      </c>
      <c r="N74" s="9" t="s">
        <v>1392</v>
      </c>
      <c r="O74" s="9" t="s">
        <v>1393</v>
      </c>
      <c r="P74" s="9" t="s">
        <v>1394</v>
      </c>
      <c r="Q74" s="9" t="s">
        <v>122</v>
      </c>
      <c r="R74" s="9" t="s">
        <v>167</v>
      </c>
      <c r="S74" s="9" t="s">
        <v>168</v>
      </c>
      <c r="T74" s="9" t="s">
        <v>169</v>
      </c>
      <c r="U74" s="9" t="s">
        <v>113</v>
      </c>
      <c r="V74" s="9" t="s">
        <v>114</v>
      </c>
      <c r="W74" s="9" t="s">
        <v>115</v>
      </c>
      <c r="X74" s="9" t="s">
        <v>116</v>
      </c>
      <c r="Y74" s="9" t="s">
        <v>117</v>
      </c>
      <c r="Z74" s="9" t="s">
        <v>118</v>
      </c>
      <c r="AA74" s="9" t="s">
        <v>119</v>
      </c>
      <c r="AB74" s="9" t="s">
        <v>109</v>
      </c>
      <c r="AC74" s="9" t="s">
        <v>403</v>
      </c>
      <c r="AD74" s="9" t="s">
        <v>121</v>
      </c>
      <c r="AE74" s="9" t="s">
        <v>122</v>
      </c>
      <c r="AF74" s="9" t="s">
        <v>122</v>
      </c>
      <c r="AG74" s="9" t="s">
        <v>122</v>
      </c>
      <c r="AH74" s="9" t="s">
        <v>109</v>
      </c>
      <c r="AI74" s="9" t="s">
        <v>109</v>
      </c>
      <c r="AJ74" s="9" t="s">
        <v>109</v>
      </c>
      <c r="AK74" s="9" t="s">
        <v>1395</v>
      </c>
      <c r="AL74" s="9" t="s">
        <v>1396</v>
      </c>
      <c r="AM74" s="9" t="s">
        <v>1397</v>
      </c>
      <c r="AN74" s="9" t="s">
        <v>1398</v>
      </c>
      <c r="AO74" s="9" t="s">
        <v>1399</v>
      </c>
      <c r="AP74" s="9" t="s">
        <v>1400</v>
      </c>
      <c r="AQ74" s="9" t="s">
        <v>1401</v>
      </c>
      <c r="AR74" s="10" t="s">
        <v>177</v>
      </c>
      <c r="AS74" s="10" t="n">
        <v>6</v>
      </c>
      <c r="AT74" s="10" t="n">
        <v>7</v>
      </c>
      <c r="AU74" s="10" t="n">
        <v>7</v>
      </c>
      <c r="AV74" s="10" t="n">
        <v>4</v>
      </c>
      <c r="AW74" s="10" t="n">
        <v>5</v>
      </c>
      <c r="AX74" s="9" t="s">
        <v>1402</v>
      </c>
    </row>
    <row r="75" customFormat="false" ht="60" hidden="false" customHeight="true" outlineLevel="0" collapsed="false">
      <c r="A75" s="9" t="s">
        <v>1403</v>
      </c>
      <c r="B75" s="9" t="s">
        <v>1404</v>
      </c>
      <c r="C75" s="9" t="s">
        <v>37</v>
      </c>
      <c r="D75" s="9" t="s">
        <v>1405</v>
      </c>
      <c r="E75" s="9" t="s">
        <v>1406</v>
      </c>
      <c r="F75" s="9" t="s">
        <v>1407</v>
      </c>
      <c r="G75" s="9" t="s">
        <v>1408</v>
      </c>
      <c r="H75" s="9" t="s">
        <v>9</v>
      </c>
      <c r="I75" s="9" t="s">
        <v>160</v>
      </c>
      <c r="J75" s="9" t="s">
        <v>28</v>
      </c>
      <c r="K75" s="9" t="s">
        <v>138</v>
      </c>
      <c r="L75" s="9" t="s">
        <v>139</v>
      </c>
      <c r="M75" s="9" t="s">
        <v>1409</v>
      </c>
      <c r="N75" s="9" t="s">
        <v>1410</v>
      </c>
      <c r="O75" s="9" t="s">
        <v>1411</v>
      </c>
      <c r="P75" s="9" t="s">
        <v>1412</v>
      </c>
      <c r="Q75" s="9" t="s">
        <v>235</v>
      </c>
      <c r="R75" s="9" t="s">
        <v>144</v>
      </c>
      <c r="S75" s="9" t="s">
        <v>168</v>
      </c>
      <c r="T75" s="9" t="s">
        <v>169</v>
      </c>
      <c r="U75" s="9" t="s">
        <v>113</v>
      </c>
      <c r="V75" s="9" t="s">
        <v>114</v>
      </c>
      <c r="W75" s="9" t="s">
        <v>115</v>
      </c>
      <c r="X75" s="9" t="s">
        <v>116</v>
      </c>
      <c r="Y75" s="9" t="s">
        <v>117</v>
      </c>
      <c r="Z75" s="9" t="s">
        <v>118</v>
      </c>
      <c r="AA75" s="9" t="s">
        <v>145</v>
      </c>
      <c r="AB75" s="9" t="s">
        <v>122</v>
      </c>
      <c r="AC75" s="9" t="s">
        <v>146</v>
      </c>
      <c r="AD75" s="9" t="s">
        <v>121</v>
      </c>
      <c r="AE75" s="9" t="s">
        <v>122</v>
      </c>
      <c r="AF75" s="9" t="s">
        <v>122</v>
      </c>
      <c r="AG75" s="9" t="s">
        <v>109</v>
      </c>
      <c r="AH75" s="9" t="s">
        <v>122</v>
      </c>
      <c r="AI75" s="9" t="s">
        <v>109</v>
      </c>
      <c r="AJ75" s="9" t="s">
        <v>109</v>
      </c>
      <c r="AK75" s="9" t="s">
        <v>1413</v>
      </c>
      <c r="AL75" s="9" t="s">
        <v>1414</v>
      </c>
      <c r="AM75" s="9" t="s">
        <v>1415</v>
      </c>
      <c r="AN75" s="9" t="s">
        <v>1416</v>
      </c>
      <c r="AO75" s="9" t="s">
        <v>1399</v>
      </c>
      <c r="AP75" s="9" t="s">
        <v>1417</v>
      </c>
      <c r="AQ75" s="9" t="s">
        <v>1418</v>
      </c>
      <c r="AR75" s="10" t="s">
        <v>177</v>
      </c>
      <c r="AS75" s="10" t="n">
        <v>7</v>
      </c>
      <c r="AT75" s="10" t="n">
        <v>7</v>
      </c>
      <c r="AU75" s="10" t="n">
        <v>7</v>
      </c>
      <c r="AV75" s="10" t="n">
        <v>6</v>
      </c>
      <c r="AW75" s="10" t="n">
        <v>4</v>
      </c>
      <c r="AX75" s="9" t="s">
        <v>1419</v>
      </c>
    </row>
    <row r="76" customFormat="false" ht="60" hidden="false" customHeight="true" outlineLevel="0" collapsed="false">
      <c r="A76" s="9" t="s">
        <v>1420</v>
      </c>
      <c r="B76" s="9" t="s">
        <v>1421</v>
      </c>
      <c r="C76" s="9" t="s">
        <v>37</v>
      </c>
      <c r="D76" s="9" t="s">
        <v>1422</v>
      </c>
      <c r="E76" s="9" t="s">
        <v>1423</v>
      </c>
      <c r="F76" s="9" t="s">
        <v>1424</v>
      </c>
      <c r="G76" s="9" t="s">
        <v>1425</v>
      </c>
      <c r="H76" s="9" t="s">
        <v>11</v>
      </c>
      <c r="I76" s="9" t="s">
        <v>202</v>
      </c>
      <c r="J76" s="9" t="s">
        <v>28</v>
      </c>
      <c r="K76" s="9" t="s">
        <v>138</v>
      </c>
      <c r="L76" s="9" t="s">
        <v>139</v>
      </c>
      <c r="M76" s="9" t="s">
        <v>1426</v>
      </c>
      <c r="N76" s="9" t="s">
        <v>1427</v>
      </c>
      <c r="O76" s="9" t="s">
        <v>1428</v>
      </c>
      <c r="P76" s="9" t="s">
        <v>459</v>
      </c>
      <c r="Q76" s="9" t="s">
        <v>122</v>
      </c>
      <c r="R76" s="9" t="s">
        <v>144</v>
      </c>
      <c r="S76" s="9" t="s">
        <v>209</v>
      </c>
      <c r="T76" s="9" t="s">
        <v>210</v>
      </c>
      <c r="U76" s="9" t="s">
        <v>113</v>
      </c>
      <c r="V76" s="9" t="s">
        <v>114</v>
      </c>
      <c r="W76" s="9" t="s">
        <v>211</v>
      </c>
      <c r="X76" s="9" t="s">
        <v>116</v>
      </c>
      <c r="Y76" s="9" t="s">
        <v>212</v>
      </c>
      <c r="Z76" s="9" t="s">
        <v>213</v>
      </c>
      <c r="AA76" s="9" t="s">
        <v>145</v>
      </c>
      <c r="AB76" s="9" t="s">
        <v>122</v>
      </c>
      <c r="AC76" s="9" t="s">
        <v>146</v>
      </c>
      <c r="AD76" s="9" t="s">
        <v>215</v>
      </c>
      <c r="AE76" s="9" t="s">
        <v>122</v>
      </c>
      <c r="AF76" s="9" t="s">
        <v>122</v>
      </c>
      <c r="AG76" s="9" t="s">
        <v>109</v>
      </c>
      <c r="AH76" s="9" t="s">
        <v>122</v>
      </c>
      <c r="AI76" s="9" t="s">
        <v>109</v>
      </c>
      <c r="AJ76" s="9" t="s">
        <v>109</v>
      </c>
      <c r="AK76" s="9" t="s">
        <v>1429</v>
      </c>
      <c r="AL76" s="9" t="s">
        <v>1430</v>
      </c>
      <c r="AM76" s="9" t="s">
        <v>1431</v>
      </c>
      <c r="AN76" s="9" t="s">
        <v>1432</v>
      </c>
      <c r="AO76" s="9" t="s">
        <v>1399</v>
      </c>
      <c r="AP76" s="9" t="s">
        <v>1433</v>
      </c>
      <c r="AQ76" s="9" t="s">
        <v>1434</v>
      </c>
      <c r="AR76" s="10" t="s">
        <v>223</v>
      </c>
      <c r="AS76" s="10" t="n">
        <v>9</v>
      </c>
      <c r="AT76" s="10" t="n">
        <v>9</v>
      </c>
      <c r="AU76" s="10" t="n">
        <v>7</v>
      </c>
      <c r="AV76" s="10" t="n">
        <v>8</v>
      </c>
      <c r="AW76" s="10" t="n">
        <v>7</v>
      </c>
      <c r="AX76" s="9" t="s">
        <v>1435</v>
      </c>
    </row>
    <row r="77" customFormat="false" ht="60" hidden="false" customHeight="true" outlineLevel="0" collapsed="false">
      <c r="A77" s="9" t="s">
        <v>1436</v>
      </c>
      <c r="B77" s="9" t="s">
        <v>1437</v>
      </c>
      <c r="C77" s="9" t="s">
        <v>37</v>
      </c>
      <c r="D77" s="9" t="s">
        <v>1438</v>
      </c>
      <c r="E77" s="9" t="s">
        <v>1439</v>
      </c>
      <c r="F77" s="9" t="s">
        <v>1440</v>
      </c>
      <c r="G77" s="9" t="s">
        <v>1441</v>
      </c>
      <c r="H77" s="9" t="s">
        <v>11</v>
      </c>
      <c r="I77" s="9" t="s">
        <v>202</v>
      </c>
      <c r="J77" s="9" t="s">
        <v>26</v>
      </c>
      <c r="K77" s="9" t="s">
        <v>396</v>
      </c>
      <c r="L77" s="9" t="s">
        <v>397</v>
      </c>
      <c r="M77" s="9" t="s">
        <v>1442</v>
      </c>
      <c r="N77" s="9" t="s">
        <v>1443</v>
      </c>
      <c r="O77" s="9" t="s">
        <v>1444</v>
      </c>
      <c r="P77" s="9" t="s">
        <v>1445</v>
      </c>
      <c r="Q77" s="9" t="s">
        <v>122</v>
      </c>
      <c r="R77" s="9" t="s">
        <v>167</v>
      </c>
      <c r="S77" s="9" t="s">
        <v>209</v>
      </c>
      <c r="T77" s="9" t="s">
        <v>210</v>
      </c>
      <c r="U77" s="9" t="s">
        <v>113</v>
      </c>
      <c r="V77" s="9" t="s">
        <v>114</v>
      </c>
      <c r="W77" s="9" t="s">
        <v>211</v>
      </c>
      <c r="X77" s="9" t="s">
        <v>116</v>
      </c>
      <c r="Y77" s="9" t="s">
        <v>212</v>
      </c>
      <c r="Z77" s="9" t="s">
        <v>213</v>
      </c>
      <c r="AA77" s="9" t="s">
        <v>119</v>
      </c>
      <c r="AB77" s="9" t="s">
        <v>109</v>
      </c>
      <c r="AC77" s="9" t="s">
        <v>403</v>
      </c>
      <c r="AD77" s="9" t="s">
        <v>215</v>
      </c>
      <c r="AE77" s="9" t="s">
        <v>122</v>
      </c>
      <c r="AF77" s="9" t="s">
        <v>122</v>
      </c>
      <c r="AG77" s="9" t="s">
        <v>122</v>
      </c>
      <c r="AH77" s="9" t="s">
        <v>109</v>
      </c>
      <c r="AI77" s="9" t="s">
        <v>109</v>
      </c>
      <c r="AJ77" s="9" t="s">
        <v>109</v>
      </c>
      <c r="AK77" s="9" t="s">
        <v>1446</v>
      </c>
      <c r="AL77" s="9" t="s">
        <v>1447</v>
      </c>
      <c r="AM77" s="9" t="s">
        <v>1448</v>
      </c>
      <c r="AN77" s="9" t="s">
        <v>1449</v>
      </c>
      <c r="AO77" s="9" t="s">
        <v>1399</v>
      </c>
      <c r="AP77" s="9" t="s">
        <v>1450</v>
      </c>
      <c r="AQ77" s="9" t="s">
        <v>1451</v>
      </c>
      <c r="AR77" s="10" t="s">
        <v>223</v>
      </c>
      <c r="AS77" s="10" t="n">
        <v>7</v>
      </c>
      <c r="AT77" s="10" t="n">
        <v>8</v>
      </c>
      <c r="AU77" s="10" t="n">
        <v>8</v>
      </c>
      <c r="AV77" s="10" t="n">
        <v>7</v>
      </c>
      <c r="AW77" s="10" t="n">
        <v>7</v>
      </c>
      <c r="AX77" s="9" t="s">
        <v>1452</v>
      </c>
    </row>
    <row r="78" customFormat="false" ht="60" hidden="false" customHeight="true" outlineLevel="0" collapsed="false">
      <c r="A78" s="9" t="s">
        <v>1453</v>
      </c>
      <c r="B78" s="9" t="s">
        <v>1454</v>
      </c>
      <c r="C78" s="9" t="s">
        <v>34</v>
      </c>
      <c r="D78" s="9" t="s">
        <v>1455</v>
      </c>
      <c r="E78" s="9" t="s">
        <v>1456</v>
      </c>
      <c r="F78" s="9" t="s">
        <v>1457</v>
      </c>
      <c r="G78" s="9" t="s">
        <v>1458</v>
      </c>
      <c r="H78" s="9" t="s">
        <v>11</v>
      </c>
      <c r="I78" s="9" t="s">
        <v>202</v>
      </c>
      <c r="J78" s="9" t="s">
        <v>28</v>
      </c>
      <c r="K78" s="9" t="s">
        <v>138</v>
      </c>
      <c r="L78" s="9" t="s">
        <v>139</v>
      </c>
      <c r="M78" s="9" t="s">
        <v>1459</v>
      </c>
      <c r="N78" s="9" t="s">
        <v>1460</v>
      </c>
      <c r="O78" s="9" t="s">
        <v>1461</v>
      </c>
      <c r="P78" s="9" t="s">
        <v>1462</v>
      </c>
      <c r="Q78" s="9" t="s">
        <v>122</v>
      </c>
      <c r="R78" s="9" t="s">
        <v>144</v>
      </c>
      <c r="S78" s="9" t="s">
        <v>209</v>
      </c>
      <c r="T78" s="9" t="s">
        <v>210</v>
      </c>
      <c r="U78" s="9" t="s">
        <v>113</v>
      </c>
      <c r="V78" s="9" t="s">
        <v>114</v>
      </c>
      <c r="W78" s="9" t="s">
        <v>211</v>
      </c>
      <c r="X78" s="9" t="s">
        <v>116</v>
      </c>
      <c r="Y78" s="9" t="s">
        <v>212</v>
      </c>
      <c r="Z78" s="9" t="s">
        <v>213</v>
      </c>
      <c r="AA78" s="9" t="s">
        <v>145</v>
      </c>
      <c r="AB78" s="9" t="s">
        <v>122</v>
      </c>
      <c r="AC78" s="9" t="s">
        <v>146</v>
      </c>
      <c r="AD78" s="9" t="s">
        <v>215</v>
      </c>
      <c r="AE78" s="9" t="s">
        <v>122</v>
      </c>
      <c r="AF78" s="9" t="s">
        <v>122</v>
      </c>
      <c r="AG78" s="9" t="s">
        <v>109</v>
      </c>
      <c r="AH78" s="9" t="s">
        <v>122</v>
      </c>
      <c r="AI78" s="9" t="s">
        <v>109</v>
      </c>
      <c r="AJ78" s="9" t="s">
        <v>109</v>
      </c>
      <c r="AK78" s="9" t="s">
        <v>1463</v>
      </c>
      <c r="AL78" s="9" t="s">
        <v>1464</v>
      </c>
      <c r="AM78" s="9" t="s">
        <v>1465</v>
      </c>
      <c r="AN78" s="9" t="s">
        <v>1466</v>
      </c>
      <c r="AO78" s="9" t="s">
        <v>1467</v>
      </c>
      <c r="AP78" s="9" t="s">
        <v>1468</v>
      </c>
      <c r="AQ78" s="9" t="s">
        <v>1469</v>
      </c>
      <c r="AR78" s="10" t="s">
        <v>223</v>
      </c>
      <c r="AS78" s="10" t="n">
        <v>8</v>
      </c>
      <c r="AT78" s="10" t="n">
        <v>8</v>
      </c>
      <c r="AU78" s="10" t="n">
        <v>6</v>
      </c>
      <c r="AV78" s="10" t="n">
        <v>6</v>
      </c>
      <c r="AW78" s="10" t="n">
        <v>5</v>
      </c>
      <c r="AX78" s="9" t="s">
        <v>1470</v>
      </c>
    </row>
    <row r="79" customFormat="false" ht="60" hidden="false" customHeight="true" outlineLevel="0" collapsed="false">
      <c r="A79" s="9" t="s">
        <v>1471</v>
      </c>
      <c r="B79" s="9" t="s">
        <v>1472</v>
      </c>
      <c r="C79" s="9" t="s">
        <v>34</v>
      </c>
      <c r="D79" s="9" t="s">
        <v>1473</v>
      </c>
      <c r="E79" s="9" t="s">
        <v>1474</v>
      </c>
      <c r="F79" s="9" t="s">
        <v>1475</v>
      </c>
      <c r="G79" s="9" t="s">
        <v>1476</v>
      </c>
      <c r="H79" s="9" t="s">
        <v>13</v>
      </c>
      <c r="I79" s="9" t="s">
        <v>267</v>
      </c>
      <c r="J79" s="9" t="s">
        <v>28</v>
      </c>
      <c r="K79" s="9" t="s">
        <v>138</v>
      </c>
      <c r="L79" s="9" t="s">
        <v>139</v>
      </c>
      <c r="M79" s="9" t="s">
        <v>1477</v>
      </c>
      <c r="N79" s="9" t="s">
        <v>1478</v>
      </c>
      <c r="O79" s="9" t="s">
        <v>1479</v>
      </c>
      <c r="P79" s="9" t="s">
        <v>802</v>
      </c>
      <c r="Q79" s="9" t="s">
        <v>109</v>
      </c>
      <c r="R79" s="9" t="s">
        <v>144</v>
      </c>
      <c r="S79" s="9" t="s">
        <v>272</v>
      </c>
      <c r="T79" s="9" t="s">
        <v>273</v>
      </c>
      <c r="U79" s="9" t="s">
        <v>113</v>
      </c>
      <c r="V79" s="9" t="s">
        <v>274</v>
      </c>
      <c r="W79" s="9" t="s">
        <v>211</v>
      </c>
      <c r="X79" s="9" t="s">
        <v>116</v>
      </c>
      <c r="Y79" s="9" t="s">
        <v>212</v>
      </c>
      <c r="Z79" s="9" t="s">
        <v>213</v>
      </c>
      <c r="AA79" s="9" t="s">
        <v>145</v>
      </c>
      <c r="AB79" s="9" t="s">
        <v>122</v>
      </c>
      <c r="AC79" s="9" t="s">
        <v>146</v>
      </c>
      <c r="AD79" s="9" t="s">
        <v>215</v>
      </c>
      <c r="AE79" s="9" t="s">
        <v>122</v>
      </c>
      <c r="AF79" s="9" t="s">
        <v>122</v>
      </c>
      <c r="AG79" s="9" t="s">
        <v>109</v>
      </c>
      <c r="AH79" s="9" t="s">
        <v>122</v>
      </c>
      <c r="AI79" s="9" t="s">
        <v>109</v>
      </c>
      <c r="AJ79" s="9" t="s">
        <v>109</v>
      </c>
      <c r="AK79" s="9" t="s">
        <v>1480</v>
      </c>
      <c r="AL79" s="9" t="s">
        <v>1481</v>
      </c>
      <c r="AM79" s="9" t="s">
        <v>1482</v>
      </c>
      <c r="AN79" s="9" t="s">
        <v>1483</v>
      </c>
      <c r="AO79" s="9" t="s">
        <v>1467</v>
      </c>
      <c r="AP79" s="9" t="s">
        <v>1484</v>
      </c>
      <c r="AQ79" s="9" t="s">
        <v>1485</v>
      </c>
      <c r="AR79" s="10" t="s">
        <v>281</v>
      </c>
      <c r="AS79" s="10" t="n">
        <v>9</v>
      </c>
      <c r="AT79" s="10" t="n">
        <v>7</v>
      </c>
      <c r="AU79" s="10" t="n">
        <v>8</v>
      </c>
      <c r="AV79" s="10" t="n">
        <v>10</v>
      </c>
      <c r="AW79" s="10" t="n">
        <v>7</v>
      </c>
      <c r="AX79" s="9" t="s">
        <v>1486</v>
      </c>
    </row>
    <row r="80" customFormat="false" ht="60" hidden="false" customHeight="true" outlineLevel="0" collapsed="false">
      <c r="A80" s="9" t="s">
        <v>1487</v>
      </c>
      <c r="B80" s="9" t="s">
        <v>1488</v>
      </c>
      <c r="C80" s="9" t="s">
        <v>34</v>
      </c>
      <c r="D80" s="9" t="s">
        <v>1489</v>
      </c>
      <c r="E80" s="9" t="s">
        <v>1490</v>
      </c>
      <c r="F80" s="9" t="s">
        <v>1491</v>
      </c>
      <c r="G80" s="9" t="s">
        <v>1492</v>
      </c>
      <c r="H80" s="9" t="s">
        <v>13</v>
      </c>
      <c r="I80" s="9" t="s">
        <v>267</v>
      </c>
      <c r="J80" s="9" t="s">
        <v>26</v>
      </c>
      <c r="K80" s="9" t="s">
        <v>396</v>
      </c>
      <c r="L80" s="9" t="s">
        <v>397</v>
      </c>
      <c r="M80" s="9" t="s">
        <v>1493</v>
      </c>
      <c r="N80" s="9" t="s">
        <v>1494</v>
      </c>
      <c r="O80" s="9" t="s">
        <v>1495</v>
      </c>
      <c r="P80" s="9" t="s">
        <v>1496</v>
      </c>
      <c r="Q80" s="9" t="s">
        <v>122</v>
      </c>
      <c r="R80" s="9" t="s">
        <v>167</v>
      </c>
      <c r="S80" s="9" t="s">
        <v>272</v>
      </c>
      <c r="T80" s="9" t="s">
        <v>273</v>
      </c>
      <c r="U80" s="9" t="s">
        <v>113</v>
      </c>
      <c r="V80" s="9" t="s">
        <v>274</v>
      </c>
      <c r="W80" s="9" t="s">
        <v>211</v>
      </c>
      <c r="X80" s="9" t="s">
        <v>116</v>
      </c>
      <c r="Y80" s="9" t="s">
        <v>212</v>
      </c>
      <c r="Z80" s="9" t="s">
        <v>213</v>
      </c>
      <c r="AA80" s="9" t="s">
        <v>119</v>
      </c>
      <c r="AB80" s="9" t="s">
        <v>109</v>
      </c>
      <c r="AC80" s="9" t="s">
        <v>403</v>
      </c>
      <c r="AD80" s="9" t="s">
        <v>215</v>
      </c>
      <c r="AE80" s="9" t="s">
        <v>122</v>
      </c>
      <c r="AF80" s="9" t="s">
        <v>122</v>
      </c>
      <c r="AG80" s="9" t="s">
        <v>122</v>
      </c>
      <c r="AH80" s="9" t="s">
        <v>109</v>
      </c>
      <c r="AI80" s="9" t="s">
        <v>109</v>
      </c>
      <c r="AJ80" s="9" t="s">
        <v>109</v>
      </c>
      <c r="AK80" s="9" t="s">
        <v>1497</v>
      </c>
      <c r="AL80" s="9" t="s">
        <v>1498</v>
      </c>
      <c r="AM80" s="9" t="s">
        <v>1499</v>
      </c>
      <c r="AN80" s="9" t="s">
        <v>1500</v>
      </c>
      <c r="AO80" s="9" t="s">
        <v>1467</v>
      </c>
      <c r="AP80" s="9" t="s">
        <v>1501</v>
      </c>
      <c r="AQ80" s="9" t="s">
        <v>1502</v>
      </c>
      <c r="AR80" s="10" t="s">
        <v>281</v>
      </c>
      <c r="AS80" s="10" t="n">
        <v>10</v>
      </c>
      <c r="AT80" s="10" t="n">
        <v>7</v>
      </c>
      <c r="AU80" s="10" t="n">
        <v>7</v>
      </c>
      <c r="AV80" s="10" t="n">
        <v>9</v>
      </c>
      <c r="AW80" s="10" t="n">
        <v>8</v>
      </c>
      <c r="AX80" s="9" t="s">
        <v>1503</v>
      </c>
    </row>
    <row r="81" customFormat="false" ht="60" hidden="false" customHeight="true" outlineLevel="0" collapsed="false">
      <c r="A81" s="9" t="s">
        <v>1504</v>
      </c>
      <c r="B81" s="9" t="s">
        <v>1505</v>
      </c>
      <c r="C81" s="9" t="s">
        <v>34</v>
      </c>
      <c r="D81" s="9" t="s">
        <v>1506</v>
      </c>
      <c r="E81" s="9" t="s">
        <v>1507</v>
      </c>
      <c r="F81" s="9" t="s">
        <v>1508</v>
      </c>
      <c r="G81" s="9" t="s">
        <v>1509</v>
      </c>
      <c r="H81" s="9" t="s">
        <v>13</v>
      </c>
      <c r="I81" s="9" t="s">
        <v>267</v>
      </c>
      <c r="J81" s="9" t="s">
        <v>22</v>
      </c>
      <c r="K81" s="9" t="s">
        <v>376</v>
      </c>
      <c r="L81" s="9" t="s">
        <v>377</v>
      </c>
      <c r="M81" s="9" t="s">
        <v>1510</v>
      </c>
      <c r="N81" s="9" t="s">
        <v>1511</v>
      </c>
      <c r="O81" s="9" t="s">
        <v>1512</v>
      </c>
      <c r="P81" s="9" t="s">
        <v>1513</v>
      </c>
      <c r="Q81" s="9" t="s">
        <v>122</v>
      </c>
      <c r="R81" s="9" t="s">
        <v>717</v>
      </c>
      <c r="S81" s="9" t="s">
        <v>272</v>
      </c>
      <c r="T81" s="9" t="s">
        <v>273</v>
      </c>
      <c r="U81" s="9" t="s">
        <v>113</v>
      </c>
      <c r="V81" s="9" t="s">
        <v>274</v>
      </c>
      <c r="W81" s="9" t="s">
        <v>211</v>
      </c>
      <c r="X81" s="9" t="s">
        <v>116</v>
      </c>
      <c r="Y81" s="9" t="s">
        <v>212</v>
      </c>
      <c r="Z81" s="9" t="s">
        <v>213</v>
      </c>
      <c r="AA81" s="9" t="s">
        <v>119</v>
      </c>
      <c r="AB81" s="9" t="s">
        <v>109</v>
      </c>
      <c r="AC81" s="9" t="s">
        <v>383</v>
      </c>
      <c r="AD81" s="9" t="s">
        <v>215</v>
      </c>
      <c r="AE81" s="9" t="s">
        <v>122</v>
      </c>
      <c r="AF81" s="9" t="s">
        <v>122</v>
      </c>
      <c r="AG81" s="9" t="s">
        <v>122</v>
      </c>
      <c r="AH81" s="9" t="s">
        <v>122</v>
      </c>
      <c r="AI81" s="9" t="s">
        <v>122</v>
      </c>
      <c r="AJ81" s="9" t="s">
        <v>109</v>
      </c>
      <c r="AK81" s="9" t="s">
        <v>1514</v>
      </c>
      <c r="AL81" s="9" t="s">
        <v>1515</v>
      </c>
      <c r="AM81" s="9" t="s">
        <v>1516</v>
      </c>
      <c r="AN81" s="9" t="s">
        <v>1517</v>
      </c>
      <c r="AO81" s="9" t="s">
        <v>1467</v>
      </c>
      <c r="AP81" s="9" t="s">
        <v>1518</v>
      </c>
      <c r="AQ81" s="9" t="s">
        <v>1519</v>
      </c>
      <c r="AR81" s="10" t="s">
        <v>281</v>
      </c>
      <c r="AS81" s="10" t="n">
        <v>9</v>
      </c>
      <c r="AT81" s="10" t="n">
        <v>7</v>
      </c>
      <c r="AU81" s="10" t="n">
        <v>8</v>
      </c>
      <c r="AV81" s="10" t="n">
        <v>8</v>
      </c>
      <c r="AW81" s="10" t="n">
        <v>9</v>
      </c>
      <c r="AX81" s="9" t="s">
        <v>1520</v>
      </c>
    </row>
    <row r="82" customFormat="false" ht="60" hidden="false" customHeight="true" outlineLevel="0" collapsed="false">
      <c r="A82" s="9" t="s">
        <v>1521</v>
      </c>
      <c r="B82" s="9" t="s">
        <v>1522</v>
      </c>
      <c r="C82" s="9" t="s">
        <v>27</v>
      </c>
      <c r="D82" s="9" t="s">
        <v>1523</v>
      </c>
      <c r="E82" s="9" t="s">
        <v>1524</v>
      </c>
      <c r="F82" s="9" t="s">
        <v>1525</v>
      </c>
      <c r="G82" s="9" t="s">
        <v>1526</v>
      </c>
      <c r="H82" s="9" t="s">
        <v>7</v>
      </c>
      <c r="I82" s="9" t="s">
        <v>102</v>
      </c>
      <c r="J82" s="9" t="s">
        <v>24</v>
      </c>
      <c r="K82" s="9" t="s">
        <v>434</v>
      </c>
      <c r="L82" s="9" t="s">
        <v>435</v>
      </c>
      <c r="M82" s="9" t="s">
        <v>1527</v>
      </c>
      <c r="N82" s="9" t="s">
        <v>1528</v>
      </c>
      <c r="O82" s="9" t="s">
        <v>1529</v>
      </c>
      <c r="P82" s="9" t="s">
        <v>1530</v>
      </c>
      <c r="Q82" s="9" t="s">
        <v>122</v>
      </c>
      <c r="R82" s="9" t="s">
        <v>440</v>
      </c>
      <c r="S82" s="9" t="s">
        <v>111</v>
      </c>
      <c r="T82" s="9" t="s">
        <v>112</v>
      </c>
      <c r="U82" s="9" t="s">
        <v>113</v>
      </c>
      <c r="V82" s="9" t="s">
        <v>114</v>
      </c>
      <c r="W82" s="9" t="s">
        <v>115</v>
      </c>
      <c r="X82" s="9" t="s">
        <v>116</v>
      </c>
      <c r="Y82" s="9" t="s">
        <v>117</v>
      </c>
      <c r="Z82" s="9" t="s">
        <v>118</v>
      </c>
      <c r="AA82" s="9" t="s">
        <v>145</v>
      </c>
      <c r="AB82" s="9" t="s">
        <v>122</v>
      </c>
      <c r="AC82" s="9" t="s">
        <v>441</v>
      </c>
      <c r="AD82" s="9" t="s">
        <v>121</v>
      </c>
      <c r="AE82" s="9" t="s">
        <v>122</v>
      </c>
      <c r="AF82" s="9" t="s">
        <v>122</v>
      </c>
      <c r="AG82" s="9" t="s">
        <v>122</v>
      </c>
      <c r="AH82" s="9" t="s">
        <v>122</v>
      </c>
      <c r="AI82" s="9" t="s">
        <v>109</v>
      </c>
      <c r="AJ82" s="9" t="s">
        <v>109</v>
      </c>
      <c r="AK82" s="9" t="s">
        <v>1531</v>
      </c>
      <c r="AL82" s="9" t="s">
        <v>1532</v>
      </c>
      <c r="AM82" s="9" t="s">
        <v>1533</v>
      </c>
      <c r="AN82" s="9" t="s">
        <v>1534</v>
      </c>
      <c r="AO82" s="9" t="s">
        <v>1535</v>
      </c>
      <c r="AP82" s="9" t="s">
        <v>367</v>
      </c>
      <c r="AQ82" s="9" t="s">
        <v>1536</v>
      </c>
      <c r="AR82" s="10" t="s">
        <v>130</v>
      </c>
      <c r="AS82" s="10" t="n">
        <v>4</v>
      </c>
      <c r="AT82" s="10" t="n">
        <v>6</v>
      </c>
      <c r="AU82" s="10" t="n">
        <v>3</v>
      </c>
      <c r="AV82" s="10" t="n">
        <v>2</v>
      </c>
      <c r="AW82" s="10" t="n">
        <v>1</v>
      </c>
      <c r="AX82" s="9" t="s">
        <v>1537</v>
      </c>
    </row>
    <row r="83" customFormat="false" ht="60" hidden="false" customHeight="true" outlineLevel="0" collapsed="false">
      <c r="A83" s="9" t="s">
        <v>1538</v>
      </c>
      <c r="B83" s="9" t="s">
        <v>1539</v>
      </c>
      <c r="C83" s="9" t="s">
        <v>27</v>
      </c>
      <c r="D83" s="9" t="s">
        <v>1540</v>
      </c>
      <c r="E83" s="9" t="s">
        <v>1541</v>
      </c>
      <c r="F83" s="9" t="s">
        <v>1542</v>
      </c>
      <c r="G83" s="9" t="s">
        <v>1543</v>
      </c>
      <c r="H83" s="9" t="s">
        <v>7</v>
      </c>
      <c r="I83" s="9" t="s">
        <v>102</v>
      </c>
      <c r="J83" s="9" t="s">
        <v>24</v>
      </c>
      <c r="K83" s="9" t="s">
        <v>434</v>
      </c>
      <c r="L83" s="9" t="s">
        <v>435</v>
      </c>
      <c r="M83" s="9" t="s">
        <v>1544</v>
      </c>
      <c r="N83" s="9" t="s">
        <v>1545</v>
      </c>
      <c r="O83" s="9" t="s">
        <v>1546</v>
      </c>
      <c r="P83" s="9" t="s">
        <v>1547</v>
      </c>
      <c r="Q83" s="9" t="s">
        <v>122</v>
      </c>
      <c r="R83" s="9" t="s">
        <v>440</v>
      </c>
      <c r="S83" s="9" t="s">
        <v>111</v>
      </c>
      <c r="T83" s="9" t="s">
        <v>112</v>
      </c>
      <c r="U83" s="9" t="s">
        <v>113</v>
      </c>
      <c r="V83" s="9" t="s">
        <v>114</v>
      </c>
      <c r="W83" s="9" t="s">
        <v>115</v>
      </c>
      <c r="X83" s="9" t="s">
        <v>116</v>
      </c>
      <c r="Y83" s="9" t="s">
        <v>117</v>
      </c>
      <c r="Z83" s="9" t="s">
        <v>118</v>
      </c>
      <c r="AA83" s="9" t="s">
        <v>145</v>
      </c>
      <c r="AB83" s="9" t="s">
        <v>122</v>
      </c>
      <c r="AC83" s="9" t="s">
        <v>441</v>
      </c>
      <c r="AD83" s="9" t="s">
        <v>121</v>
      </c>
      <c r="AE83" s="9" t="s">
        <v>122</v>
      </c>
      <c r="AF83" s="9" t="s">
        <v>122</v>
      </c>
      <c r="AG83" s="9" t="s">
        <v>122</v>
      </c>
      <c r="AH83" s="9" t="s">
        <v>122</v>
      </c>
      <c r="AI83" s="9" t="s">
        <v>109</v>
      </c>
      <c r="AJ83" s="9" t="s">
        <v>109</v>
      </c>
      <c r="AK83" s="9" t="s">
        <v>1548</v>
      </c>
      <c r="AL83" s="9" t="s">
        <v>1549</v>
      </c>
      <c r="AM83" s="9" t="s">
        <v>1550</v>
      </c>
      <c r="AN83" s="9" t="s">
        <v>1551</v>
      </c>
      <c r="AO83" s="9" t="s">
        <v>1535</v>
      </c>
      <c r="AP83" s="9" t="s">
        <v>1552</v>
      </c>
      <c r="AQ83" s="9" t="s">
        <v>1553</v>
      </c>
      <c r="AR83" s="10" t="s">
        <v>130</v>
      </c>
      <c r="AS83" s="10" t="n">
        <v>6</v>
      </c>
      <c r="AT83" s="10" t="n">
        <v>6</v>
      </c>
      <c r="AU83" s="10" t="n">
        <v>5</v>
      </c>
      <c r="AV83" s="10" t="n">
        <v>3</v>
      </c>
      <c r="AW83" s="10" t="n">
        <v>3</v>
      </c>
      <c r="AX83" s="9" t="s">
        <v>1554</v>
      </c>
    </row>
    <row r="84" customFormat="false" ht="60" hidden="false" customHeight="true" outlineLevel="0" collapsed="false">
      <c r="A84" s="9" t="s">
        <v>1555</v>
      </c>
      <c r="B84" s="9" t="s">
        <v>1556</v>
      </c>
      <c r="C84" s="9" t="s">
        <v>27</v>
      </c>
      <c r="D84" s="9" t="s">
        <v>1557</v>
      </c>
      <c r="E84" s="9" t="s">
        <v>1558</v>
      </c>
      <c r="F84" s="9" t="s">
        <v>1559</v>
      </c>
      <c r="G84" s="9" t="s">
        <v>1560</v>
      </c>
      <c r="H84" s="9" t="s">
        <v>9</v>
      </c>
      <c r="I84" s="9" t="s">
        <v>160</v>
      </c>
      <c r="J84" s="9" t="s">
        <v>28</v>
      </c>
      <c r="K84" s="9" t="s">
        <v>138</v>
      </c>
      <c r="L84" s="9" t="s">
        <v>139</v>
      </c>
      <c r="M84" s="9" t="s">
        <v>1561</v>
      </c>
      <c r="N84" s="9" t="s">
        <v>1562</v>
      </c>
      <c r="O84" s="9" t="s">
        <v>1563</v>
      </c>
      <c r="P84" s="9" t="s">
        <v>1564</v>
      </c>
      <c r="Q84" s="9" t="s">
        <v>122</v>
      </c>
      <c r="R84" s="9" t="s">
        <v>144</v>
      </c>
      <c r="S84" s="9" t="s">
        <v>168</v>
      </c>
      <c r="T84" s="9" t="s">
        <v>169</v>
      </c>
      <c r="U84" s="9" t="s">
        <v>113</v>
      </c>
      <c r="V84" s="9" t="s">
        <v>114</v>
      </c>
      <c r="W84" s="9" t="s">
        <v>115</v>
      </c>
      <c r="X84" s="9" t="s">
        <v>116</v>
      </c>
      <c r="Y84" s="9" t="s">
        <v>117</v>
      </c>
      <c r="Z84" s="9" t="s">
        <v>118</v>
      </c>
      <c r="AA84" s="9" t="s">
        <v>145</v>
      </c>
      <c r="AB84" s="9" t="s">
        <v>122</v>
      </c>
      <c r="AC84" s="9" t="s">
        <v>146</v>
      </c>
      <c r="AD84" s="9" t="s">
        <v>121</v>
      </c>
      <c r="AE84" s="9" t="s">
        <v>122</v>
      </c>
      <c r="AF84" s="9" t="s">
        <v>122</v>
      </c>
      <c r="AG84" s="9" t="s">
        <v>109</v>
      </c>
      <c r="AH84" s="9" t="s">
        <v>122</v>
      </c>
      <c r="AI84" s="9" t="s">
        <v>109</v>
      </c>
      <c r="AJ84" s="9" t="s">
        <v>109</v>
      </c>
      <c r="AK84" s="9" t="s">
        <v>1565</v>
      </c>
      <c r="AL84" s="9" t="s">
        <v>1566</v>
      </c>
      <c r="AM84" s="9" t="s">
        <v>1567</v>
      </c>
      <c r="AN84" s="9" t="s">
        <v>1568</v>
      </c>
      <c r="AO84" s="9" t="s">
        <v>1535</v>
      </c>
      <c r="AP84" s="9" t="s">
        <v>1569</v>
      </c>
      <c r="AQ84" s="9" t="s">
        <v>1570</v>
      </c>
      <c r="AR84" s="10" t="s">
        <v>177</v>
      </c>
      <c r="AS84" s="10" t="n">
        <v>6</v>
      </c>
      <c r="AT84" s="10" t="n">
        <v>6</v>
      </c>
      <c r="AU84" s="10" t="n">
        <v>5</v>
      </c>
      <c r="AV84" s="10" t="n">
        <v>5</v>
      </c>
      <c r="AW84" s="10" t="n">
        <v>5</v>
      </c>
      <c r="AX84" s="9" t="s">
        <v>1571</v>
      </c>
    </row>
    <row r="85" customFormat="false" ht="60" hidden="false" customHeight="true" outlineLevel="0" collapsed="false">
      <c r="A85" s="9" t="s">
        <v>1572</v>
      </c>
      <c r="B85" s="9" t="s">
        <v>1573</v>
      </c>
      <c r="C85" s="9" t="s">
        <v>27</v>
      </c>
      <c r="D85" s="9" t="s">
        <v>1574</v>
      </c>
      <c r="E85" s="9" t="s">
        <v>1575</v>
      </c>
      <c r="F85" s="9" t="s">
        <v>1576</v>
      </c>
      <c r="G85" s="9" t="s">
        <v>1577</v>
      </c>
      <c r="H85" s="9" t="s">
        <v>9</v>
      </c>
      <c r="I85" s="9" t="s">
        <v>160</v>
      </c>
      <c r="J85" s="9" t="s">
        <v>28</v>
      </c>
      <c r="K85" s="9" t="s">
        <v>138</v>
      </c>
      <c r="L85" s="9" t="s">
        <v>139</v>
      </c>
      <c r="M85" s="9" t="s">
        <v>1578</v>
      </c>
      <c r="N85" s="9" t="s">
        <v>1579</v>
      </c>
      <c r="O85" s="9" t="s">
        <v>1580</v>
      </c>
      <c r="P85" s="9" t="s">
        <v>528</v>
      </c>
      <c r="Q85" s="9" t="s">
        <v>122</v>
      </c>
      <c r="R85" s="9" t="s">
        <v>144</v>
      </c>
      <c r="S85" s="9" t="s">
        <v>168</v>
      </c>
      <c r="T85" s="9" t="s">
        <v>169</v>
      </c>
      <c r="U85" s="9" t="s">
        <v>113</v>
      </c>
      <c r="V85" s="9" t="s">
        <v>114</v>
      </c>
      <c r="W85" s="9" t="s">
        <v>115</v>
      </c>
      <c r="X85" s="9" t="s">
        <v>116</v>
      </c>
      <c r="Y85" s="9" t="s">
        <v>117</v>
      </c>
      <c r="Z85" s="9" t="s">
        <v>118</v>
      </c>
      <c r="AA85" s="9" t="s">
        <v>145</v>
      </c>
      <c r="AB85" s="9" t="s">
        <v>122</v>
      </c>
      <c r="AC85" s="9" t="s">
        <v>146</v>
      </c>
      <c r="AD85" s="9" t="s">
        <v>121</v>
      </c>
      <c r="AE85" s="9" t="s">
        <v>122</v>
      </c>
      <c r="AF85" s="9" t="s">
        <v>122</v>
      </c>
      <c r="AG85" s="9" t="s">
        <v>109</v>
      </c>
      <c r="AH85" s="9" t="s">
        <v>122</v>
      </c>
      <c r="AI85" s="9" t="s">
        <v>109</v>
      </c>
      <c r="AJ85" s="9" t="s">
        <v>109</v>
      </c>
      <c r="AK85" s="9" t="s">
        <v>1581</v>
      </c>
      <c r="AL85" s="9" t="s">
        <v>1582</v>
      </c>
      <c r="AM85" s="9" t="s">
        <v>1583</v>
      </c>
      <c r="AN85" s="9" t="s">
        <v>1584</v>
      </c>
      <c r="AO85" s="9" t="s">
        <v>1535</v>
      </c>
      <c r="AP85" s="9" t="s">
        <v>1585</v>
      </c>
      <c r="AQ85" s="9" t="s">
        <v>1586</v>
      </c>
      <c r="AR85" s="10" t="s">
        <v>177</v>
      </c>
      <c r="AS85" s="10" t="n">
        <v>5</v>
      </c>
      <c r="AT85" s="10" t="n">
        <v>7</v>
      </c>
      <c r="AU85" s="10" t="n">
        <v>6</v>
      </c>
      <c r="AV85" s="10" t="n">
        <v>5</v>
      </c>
      <c r="AW85" s="10" t="n">
        <v>5</v>
      </c>
      <c r="AX85" s="9" t="s">
        <v>1587</v>
      </c>
    </row>
    <row r="86" customFormat="false" ht="60" hidden="false" customHeight="true" outlineLevel="0" collapsed="false">
      <c r="A86" s="9" t="s">
        <v>1588</v>
      </c>
      <c r="B86" s="9" t="s">
        <v>1589</v>
      </c>
      <c r="C86" s="9" t="s">
        <v>36</v>
      </c>
      <c r="D86" s="9" t="s">
        <v>1590</v>
      </c>
      <c r="E86" s="9" t="s">
        <v>1591</v>
      </c>
      <c r="F86" s="9" t="s">
        <v>1592</v>
      </c>
      <c r="G86" s="9" t="s">
        <v>1593</v>
      </c>
      <c r="H86" s="9" t="s">
        <v>11</v>
      </c>
      <c r="I86" s="9" t="s">
        <v>202</v>
      </c>
      <c r="J86" s="9" t="s">
        <v>28</v>
      </c>
      <c r="K86" s="9" t="s">
        <v>138</v>
      </c>
      <c r="L86" s="9" t="s">
        <v>139</v>
      </c>
      <c r="M86" s="9" t="s">
        <v>1594</v>
      </c>
      <c r="N86" s="9" t="s">
        <v>1595</v>
      </c>
      <c r="O86" s="9" t="s">
        <v>1596</v>
      </c>
      <c r="P86" s="9" t="s">
        <v>1597</v>
      </c>
      <c r="Q86" s="9" t="s">
        <v>122</v>
      </c>
      <c r="R86" s="9" t="s">
        <v>144</v>
      </c>
      <c r="S86" s="9" t="s">
        <v>209</v>
      </c>
      <c r="T86" s="9" t="s">
        <v>210</v>
      </c>
      <c r="U86" s="9" t="s">
        <v>113</v>
      </c>
      <c r="V86" s="9" t="s">
        <v>114</v>
      </c>
      <c r="W86" s="9" t="s">
        <v>211</v>
      </c>
      <c r="X86" s="9" t="s">
        <v>116</v>
      </c>
      <c r="Y86" s="9" t="s">
        <v>212</v>
      </c>
      <c r="Z86" s="9" t="s">
        <v>213</v>
      </c>
      <c r="AA86" s="9" t="s">
        <v>145</v>
      </c>
      <c r="AB86" s="9" t="s">
        <v>122</v>
      </c>
      <c r="AC86" s="9" t="s">
        <v>146</v>
      </c>
      <c r="AD86" s="9" t="s">
        <v>215</v>
      </c>
      <c r="AE86" s="9" t="s">
        <v>122</v>
      </c>
      <c r="AF86" s="9" t="s">
        <v>122</v>
      </c>
      <c r="AG86" s="9" t="s">
        <v>109</v>
      </c>
      <c r="AH86" s="9" t="s">
        <v>122</v>
      </c>
      <c r="AI86" s="9" t="s">
        <v>109</v>
      </c>
      <c r="AJ86" s="9" t="s">
        <v>109</v>
      </c>
      <c r="AK86" s="9" t="s">
        <v>1598</v>
      </c>
      <c r="AL86" s="9" t="s">
        <v>1599</v>
      </c>
      <c r="AM86" s="9" t="s">
        <v>1600</v>
      </c>
      <c r="AN86" s="9" t="s">
        <v>1601</v>
      </c>
      <c r="AO86" s="9" t="s">
        <v>1602</v>
      </c>
      <c r="AP86" s="9" t="s">
        <v>1603</v>
      </c>
      <c r="AQ86" s="9" t="s">
        <v>1604</v>
      </c>
      <c r="AR86" s="10" t="s">
        <v>223</v>
      </c>
      <c r="AS86" s="10" t="n">
        <v>8</v>
      </c>
      <c r="AT86" s="10" t="n">
        <v>8</v>
      </c>
      <c r="AU86" s="10" t="n">
        <v>7</v>
      </c>
      <c r="AV86" s="10" t="n">
        <v>6</v>
      </c>
      <c r="AW86" s="10" t="n">
        <v>7</v>
      </c>
      <c r="AX86" s="9" t="s">
        <v>1605</v>
      </c>
    </row>
    <row r="87" customFormat="false" ht="60" hidden="false" customHeight="true" outlineLevel="0" collapsed="false">
      <c r="A87" s="9" t="s">
        <v>1606</v>
      </c>
      <c r="B87" s="9" t="s">
        <v>1607</v>
      </c>
      <c r="C87" s="9" t="s">
        <v>36</v>
      </c>
      <c r="D87" s="9" t="s">
        <v>1608</v>
      </c>
      <c r="E87" s="9" t="s">
        <v>1609</v>
      </c>
      <c r="F87" s="9" t="s">
        <v>1610</v>
      </c>
      <c r="G87" s="9" t="s">
        <v>1611</v>
      </c>
      <c r="H87" s="9" t="s">
        <v>11</v>
      </c>
      <c r="I87" s="9" t="s">
        <v>202</v>
      </c>
      <c r="J87" s="9" t="s">
        <v>24</v>
      </c>
      <c r="K87" s="9" t="s">
        <v>434</v>
      </c>
      <c r="L87" s="9" t="s">
        <v>435</v>
      </c>
      <c r="M87" s="9" t="s">
        <v>1612</v>
      </c>
      <c r="N87" s="9" t="s">
        <v>1595</v>
      </c>
      <c r="O87" s="9" t="s">
        <v>1613</v>
      </c>
      <c r="P87" s="9" t="s">
        <v>1614</v>
      </c>
      <c r="Q87" s="9" t="s">
        <v>122</v>
      </c>
      <c r="R87" s="9" t="s">
        <v>440</v>
      </c>
      <c r="S87" s="9" t="s">
        <v>209</v>
      </c>
      <c r="T87" s="9" t="s">
        <v>210</v>
      </c>
      <c r="U87" s="9" t="s">
        <v>113</v>
      </c>
      <c r="V87" s="9" t="s">
        <v>114</v>
      </c>
      <c r="W87" s="9" t="s">
        <v>211</v>
      </c>
      <c r="X87" s="9" t="s">
        <v>116</v>
      </c>
      <c r="Y87" s="9" t="s">
        <v>212</v>
      </c>
      <c r="Z87" s="9" t="s">
        <v>213</v>
      </c>
      <c r="AA87" s="9" t="s">
        <v>145</v>
      </c>
      <c r="AB87" s="9" t="s">
        <v>122</v>
      </c>
      <c r="AC87" s="9" t="s">
        <v>441</v>
      </c>
      <c r="AD87" s="9" t="s">
        <v>215</v>
      </c>
      <c r="AE87" s="9" t="s">
        <v>122</v>
      </c>
      <c r="AF87" s="9" t="s">
        <v>122</v>
      </c>
      <c r="AG87" s="9" t="s">
        <v>122</v>
      </c>
      <c r="AH87" s="9" t="s">
        <v>122</v>
      </c>
      <c r="AI87" s="9" t="s">
        <v>109</v>
      </c>
      <c r="AJ87" s="9" t="s">
        <v>109</v>
      </c>
      <c r="AK87" s="9" t="s">
        <v>1615</v>
      </c>
      <c r="AL87" s="9" t="s">
        <v>1616</v>
      </c>
      <c r="AM87" s="9" t="s">
        <v>1617</v>
      </c>
      <c r="AN87" s="9" t="s">
        <v>1618</v>
      </c>
      <c r="AO87" s="9" t="s">
        <v>1602</v>
      </c>
      <c r="AP87" s="9" t="s">
        <v>1619</v>
      </c>
      <c r="AQ87" s="9" t="s">
        <v>1620</v>
      </c>
      <c r="AR87" s="10" t="s">
        <v>223</v>
      </c>
      <c r="AS87" s="10" t="n">
        <v>8</v>
      </c>
      <c r="AT87" s="10" t="n">
        <v>8</v>
      </c>
      <c r="AU87" s="10" t="n">
        <v>8</v>
      </c>
      <c r="AV87" s="10" t="n">
        <v>6</v>
      </c>
      <c r="AW87" s="10" t="n">
        <v>5</v>
      </c>
      <c r="AX87" s="9" t="s">
        <v>1621</v>
      </c>
    </row>
    <row r="88" customFormat="false" ht="60" hidden="false" customHeight="true" outlineLevel="0" collapsed="false">
      <c r="A88" s="9" t="s">
        <v>1622</v>
      </c>
      <c r="B88" s="9" t="s">
        <v>1623</v>
      </c>
      <c r="C88" s="9" t="s">
        <v>36</v>
      </c>
      <c r="D88" s="9" t="s">
        <v>1624</v>
      </c>
      <c r="E88" s="9" t="s">
        <v>1625</v>
      </c>
      <c r="F88" s="9" t="s">
        <v>1626</v>
      </c>
      <c r="G88" s="9" t="s">
        <v>1627</v>
      </c>
      <c r="H88" s="9" t="s">
        <v>11</v>
      </c>
      <c r="I88" s="9" t="s">
        <v>202</v>
      </c>
      <c r="J88" s="9" t="s">
        <v>28</v>
      </c>
      <c r="K88" s="9" t="s">
        <v>138</v>
      </c>
      <c r="L88" s="9" t="s">
        <v>139</v>
      </c>
      <c r="M88" s="9" t="s">
        <v>1628</v>
      </c>
      <c r="N88" s="9" t="s">
        <v>1629</v>
      </c>
      <c r="O88" s="9" t="s">
        <v>1630</v>
      </c>
      <c r="P88" s="9" t="s">
        <v>1631</v>
      </c>
      <c r="Q88" s="9" t="s">
        <v>122</v>
      </c>
      <c r="R88" s="9" t="s">
        <v>144</v>
      </c>
      <c r="S88" s="9" t="s">
        <v>209</v>
      </c>
      <c r="T88" s="9" t="s">
        <v>210</v>
      </c>
      <c r="U88" s="9" t="s">
        <v>113</v>
      </c>
      <c r="V88" s="9" t="s">
        <v>114</v>
      </c>
      <c r="W88" s="9" t="s">
        <v>211</v>
      </c>
      <c r="X88" s="9" t="s">
        <v>116</v>
      </c>
      <c r="Y88" s="9" t="s">
        <v>212</v>
      </c>
      <c r="Z88" s="9" t="s">
        <v>213</v>
      </c>
      <c r="AA88" s="9" t="s">
        <v>145</v>
      </c>
      <c r="AB88" s="9" t="s">
        <v>122</v>
      </c>
      <c r="AC88" s="9" t="s">
        <v>146</v>
      </c>
      <c r="AD88" s="9" t="s">
        <v>215</v>
      </c>
      <c r="AE88" s="9" t="s">
        <v>122</v>
      </c>
      <c r="AF88" s="9" t="s">
        <v>122</v>
      </c>
      <c r="AG88" s="9" t="s">
        <v>109</v>
      </c>
      <c r="AH88" s="9" t="s">
        <v>122</v>
      </c>
      <c r="AI88" s="9" t="s">
        <v>109</v>
      </c>
      <c r="AJ88" s="9" t="s">
        <v>109</v>
      </c>
      <c r="AK88" s="9" t="s">
        <v>1632</v>
      </c>
      <c r="AL88" s="9" t="s">
        <v>1633</v>
      </c>
      <c r="AM88" s="9" t="s">
        <v>1634</v>
      </c>
      <c r="AN88" s="9" t="s">
        <v>1635</v>
      </c>
      <c r="AO88" s="9" t="s">
        <v>1602</v>
      </c>
      <c r="AP88" s="9" t="s">
        <v>1636</v>
      </c>
      <c r="AQ88" s="9" t="s">
        <v>1637</v>
      </c>
      <c r="AR88" s="10" t="s">
        <v>223</v>
      </c>
      <c r="AS88" s="10" t="n">
        <v>9</v>
      </c>
      <c r="AT88" s="10" t="n">
        <v>7</v>
      </c>
      <c r="AU88" s="10" t="n">
        <v>7</v>
      </c>
      <c r="AV88" s="10" t="n">
        <v>6</v>
      </c>
      <c r="AW88" s="10" t="n">
        <v>6</v>
      </c>
      <c r="AX88" s="9" t="s">
        <v>1638</v>
      </c>
    </row>
    <row r="89" customFormat="false" ht="60" hidden="false" customHeight="true" outlineLevel="0" collapsed="false">
      <c r="A89" s="9" t="s">
        <v>1639</v>
      </c>
      <c r="B89" s="9" t="s">
        <v>1640</v>
      </c>
      <c r="C89" s="9" t="s">
        <v>36</v>
      </c>
      <c r="D89" s="9" t="s">
        <v>1641</v>
      </c>
      <c r="E89" s="9" t="s">
        <v>1642</v>
      </c>
      <c r="F89" s="9" t="s">
        <v>1643</v>
      </c>
      <c r="G89" s="9" t="s">
        <v>1644</v>
      </c>
      <c r="H89" s="9" t="s">
        <v>13</v>
      </c>
      <c r="I89" s="9" t="s">
        <v>267</v>
      </c>
      <c r="J89" s="9" t="s">
        <v>28</v>
      </c>
      <c r="K89" s="9" t="s">
        <v>138</v>
      </c>
      <c r="L89" s="9" t="s">
        <v>139</v>
      </c>
      <c r="M89" s="9" t="s">
        <v>1645</v>
      </c>
      <c r="N89" s="9" t="s">
        <v>1646</v>
      </c>
      <c r="O89" s="9" t="s">
        <v>1647</v>
      </c>
      <c r="P89" s="9" t="s">
        <v>802</v>
      </c>
      <c r="Q89" s="9" t="s">
        <v>122</v>
      </c>
      <c r="R89" s="9" t="s">
        <v>144</v>
      </c>
      <c r="S89" s="9" t="s">
        <v>272</v>
      </c>
      <c r="T89" s="9" t="s">
        <v>273</v>
      </c>
      <c r="U89" s="9" t="s">
        <v>113</v>
      </c>
      <c r="V89" s="9" t="s">
        <v>274</v>
      </c>
      <c r="W89" s="9" t="s">
        <v>211</v>
      </c>
      <c r="X89" s="9" t="s">
        <v>116</v>
      </c>
      <c r="Y89" s="9" t="s">
        <v>212</v>
      </c>
      <c r="Z89" s="9" t="s">
        <v>213</v>
      </c>
      <c r="AA89" s="9" t="s">
        <v>145</v>
      </c>
      <c r="AB89" s="9" t="s">
        <v>122</v>
      </c>
      <c r="AC89" s="9" t="s">
        <v>146</v>
      </c>
      <c r="AD89" s="9" t="s">
        <v>215</v>
      </c>
      <c r="AE89" s="9" t="s">
        <v>122</v>
      </c>
      <c r="AF89" s="9" t="s">
        <v>122</v>
      </c>
      <c r="AG89" s="9" t="s">
        <v>109</v>
      </c>
      <c r="AH89" s="9" t="s">
        <v>122</v>
      </c>
      <c r="AI89" s="9" t="s">
        <v>109</v>
      </c>
      <c r="AJ89" s="9" t="s">
        <v>109</v>
      </c>
      <c r="AK89" s="9" t="s">
        <v>1648</v>
      </c>
      <c r="AL89" s="9" t="s">
        <v>1649</v>
      </c>
      <c r="AM89" s="9" t="s">
        <v>1650</v>
      </c>
      <c r="AN89" s="9" t="s">
        <v>1651</v>
      </c>
      <c r="AO89" s="9" t="s">
        <v>1602</v>
      </c>
      <c r="AP89" s="9" t="s">
        <v>367</v>
      </c>
      <c r="AQ89" s="9" t="s">
        <v>1652</v>
      </c>
      <c r="AR89" s="10" t="s">
        <v>281</v>
      </c>
      <c r="AS89" s="10" t="n">
        <v>8</v>
      </c>
      <c r="AT89" s="10" t="n">
        <v>7</v>
      </c>
      <c r="AU89" s="10" t="n">
        <v>7</v>
      </c>
      <c r="AV89" s="10" t="n">
        <v>9</v>
      </c>
      <c r="AW89" s="10" t="n">
        <v>8</v>
      </c>
      <c r="AX89" s="9" t="s">
        <v>1653</v>
      </c>
    </row>
    <row r="90" customFormat="false" ht="60" hidden="false" customHeight="true" outlineLevel="0" collapsed="false">
      <c r="A90" s="9" t="s">
        <v>1654</v>
      </c>
      <c r="B90" s="9" t="s">
        <v>1655</v>
      </c>
      <c r="C90" s="9" t="s">
        <v>41</v>
      </c>
      <c r="D90" s="9" t="s">
        <v>1656</v>
      </c>
      <c r="E90" s="9" t="s">
        <v>1657</v>
      </c>
      <c r="F90" s="9" t="s">
        <v>1658</v>
      </c>
      <c r="G90" s="9" t="s">
        <v>1659</v>
      </c>
      <c r="H90" s="9" t="s">
        <v>13</v>
      </c>
      <c r="I90" s="9" t="s">
        <v>267</v>
      </c>
      <c r="J90" s="9" t="s">
        <v>28</v>
      </c>
      <c r="K90" s="9" t="s">
        <v>138</v>
      </c>
      <c r="L90" s="9" t="s">
        <v>139</v>
      </c>
      <c r="M90" s="9" t="s">
        <v>1477</v>
      </c>
      <c r="N90" s="9" t="s">
        <v>1660</v>
      </c>
      <c r="O90" s="9" t="s">
        <v>1661</v>
      </c>
      <c r="P90" s="9" t="s">
        <v>459</v>
      </c>
      <c r="Q90" s="9" t="s">
        <v>109</v>
      </c>
      <c r="R90" s="9" t="s">
        <v>144</v>
      </c>
      <c r="S90" s="9" t="s">
        <v>272</v>
      </c>
      <c r="T90" s="9" t="s">
        <v>273</v>
      </c>
      <c r="U90" s="9" t="s">
        <v>113</v>
      </c>
      <c r="V90" s="9" t="s">
        <v>274</v>
      </c>
      <c r="W90" s="9" t="s">
        <v>211</v>
      </c>
      <c r="X90" s="9" t="s">
        <v>116</v>
      </c>
      <c r="Y90" s="9" t="s">
        <v>212</v>
      </c>
      <c r="Z90" s="9" t="s">
        <v>213</v>
      </c>
      <c r="AA90" s="9" t="s">
        <v>145</v>
      </c>
      <c r="AB90" s="9" t="s">
        <v>122</v>
      </c>
      <c r="AC90" s="9" t="s">
        <v>146</v>
      </c>
      <c r="AD90" s="9" t="s">
        <v>215</v>
      </c>
      <c r="AE90" s="9" t="s">
        <v>122</v>
      </c>
      <c r="AF90" s="9" t="s">
        <v>122</v>
      </c>
      <c r="AG90" s="9" t="s">
        <v>109</v>
      </c>
      <c r="AH90" s="9" t="s">
        <v>122</v>
      </c>
      <c r="AI90" s="9" t="s">
        <v>109</v>
      </c>
      <c r="AJ90" s="9" t="s">
        <v>109</v>
      </c>
      <c r="AK90" s="9" t="s">
        <v>1662</v>
      </c>
      <c r="AL90" s="9" t="s">
        <v>1663</v>
      </c>
      <c r="AM90" s="9" t="s">
        <v>1664</v>
      </c>
      <c r="AN90" s="9" t="s">
        <v>1665</v>
      </c>
      <c r="AO90" s="9" t="s">
        <v>1666</v>
      </c>
      <c r="AP90" s="9" t="s">
        <v>1667</v>
      </c>
      <c r="AQ90" s="9" t="s">
        <v>1668</v>
      </c>
      <c r="AR90" s="10" t="s">
        <v>281</v>
      </c>
      <c r="AS90" s="10" t="n">
        <v>10</v>
      </c>
      <c r="AT90" s="10" t="n">
        <v>8</v>
      </c>
      <c r="AU90" s="10" t="n">
        <v>7</v>
      </c>
      <c r="AV90" s="10" t="n">
        <v>9</v>
      </c>
      <c r="AW90" s="10" t="n">
        <v>9</v>
      </c>
      <c r="AX90" s="9" t="s">
        <v>1669</v>
      </c>
    </row>
    <row r="91" customFormat="false" ht="60" hidden="false" customHeight="true" outlineLevel="0" collapsed="false">
      <c r="A91" s="9" t="s">
        <v>1670</v>
      </c>
      <c r="B91" s="9" t="s">
        <v>1671</v>
      </c>
      <c r="C91" s="9" t="s">
        <v>41</v>
      </c>
      <c r="D91" s="9" t="s">
        <v>1672</v>
      </c>
      <c r="E91" s="9" t="s">
        <v>1673</v>
      </c>
      <c r="F91" s="9" t="s">
        <v>1674</v>
      </c>
      <c r="G91" s="9" t="s">
        <v>1675</v>
      </c>
      <c r="H91" s="9" t="s">
        <v>13</v>
      </c>
      <c r="I91" s="9" t="s">
        <v>267</v>
      </c>
      <c r="J91" s="9" t="s">
        <v>28</v>
      </c>
      <c r="K91" s="9" t="s">
        <v>138</v>
      </c>
      <c r="L91" s="9" t="s">
        <v>139</v>
      </c>
      <c r="M91" s="9" t="s">
        <v>1676</v>
      </c>
      <c r="N91" s="9" t="s">
        <v>1677</v>
      </c>
      <c r="O91" s="9" t="s">
        <v>1678</v>
      </c>
      <c r="P91" s="9" t="s">
        <v>802</v>
      </c>
      <c r="Q91" s="9" t="s">
        <v>122</v>
      </c>
      <c r="R91" s="9" t="s">
        <v>144</v>
      </c>
      <c r="S91" s="9" t="s">
        <v>272</v>
      </c>
      <c r="T91" s="9" t="s">
        <v>273</v>
      </c>
      <c r="U91" s="9" t="s">
        <v>113</v>
      </c>
      <c r="V91" s="9" t="s">
        <v>274</v>
      </c>
      <c r="W91" s="9" t="s">
        <v>211</v>
      </c>
      <c r="X91" s="9" t="s">
        <v>116</v>
      </c>
      <c r="Y91" s="9" t="s">
        <v>212</v>
      </c>
      <c r="Z91" s="9" t="s">
        <v>213</v>
      </c>
      <c r="AA91" s="9" t="s">
        <v>145</v>
      </c>
      <c r="AB91" s="9" t="s">
        <v>122</v>
      </c>
      <c r="AC91" s="9" t="s">
        <v>146</v>
      </c>
      <c r="AD91" s="9" t="s">
        <v>215</v>
      </c>
      <c r="AE91" s="9" t="s">
        <v>122</v>
      </c>
      <c r="AF91" s="9" t="s">
        <v>122</v>
      </c>
      <c r="AG91" s="9" t="s">
        <v>109</v>
      </c>
      <c r="AH91" s="9" t="s">
        <v>122</v>
      </c>
      <c r="AI91" s="9" t="s">
        <v>109</v>
      </c>
      <c r="AJ91" s="9" t="s">
        <v>109</v>
      </c>
      <c r="AK91" s="9" t="s">
        <v>1679</v>
      </c>
      <c r="AL91" s="9" t="s">
        <v>1680</v>
      </c>
      <c r="AM91" s="9" t="s">
        <v>1681</v>
      </c>
      <c r="AN91" s="9" t="s">
        <v>1682</v>
      </c>
      <c r="AO91" s="9" t="s">
        <v>1666</v>
      </c>
      <c r="AP91" s="9" t="s">
        <v>1683</v>
      </c>
      <c r="AQ91" s="9" t="s">
        <v>1684</v>
      </c>
      <c r="AR91" s="10" t="s">
        <v>281</v>
      </c>
      <c r="AS91" s="10" t="n">
        <v>9</v>
      </c>
      <c r="AT91" s="10" t="n">
        <v>8</v>
      </c>
      <c r="AU91" s="10" t="n">
        <v>7</v>
      </c>
      <c r="AV91" s="10" t="n">
        <v>8</v>
      </c>
      <c r="AW91" s="10" t="n">
        <v>8</v>
      </c>
      <c r="AX91" s="9" t="s">
        <v>1685</v>
      </c>
    </row>
    <row r="92" customFormat="false" ht="60" hidden="false" customHeight="true" outlineLevel="0" collapsed="false">
      <c r="A92" s="9" t="s">
        <v>1686</v>
      </c>
      <c r="B92" s="9" t="s">
        <v>1687</v>
      </c>
      <c r="C92" s="9" t="s">
        <v>41</v>
      </c>
      <c r="D92" s="9" t="s">
        <v>1688</v>
      </c>
      <c r="E92" s="9" t="s">
        <v>1689</v>
      </c>
      <c r="F92" s="9" t="s">
        <v>1690</v>
      </c>
      <c r="G92" s="9" t="s">
        <v>1691</v>
      </c>
      <c r="H92" s="9" t="s">
        <v>7</v>
      </c>
      <c r="I92" s="9" t="s">
        <v>102</v>
      </c>
      <c r="J92" s="9" t="s">
        <v>28</v>
      </c>
      <c r="K92" s="9" t="s">
        <v>138</v>
      </c>
      <c r="L92" s="9" t="s">
        <v>139</v>
      </c>
      <c r="M92" s="9" t="s">
        <v>1692</v>
      </c>
      <c r="N92" s="9" t="s">
        <v>1693</v>
      </c>
      <c r="O92" s="9" t="s">
        <v>1694</v>
      </c>
      <c r="P92" s="9" t="s">
        <v>1094</v>
      </c>
      <c r="Q92" s="9" t="s">
        <v>122</v>
      </c>
      <c r="R92" s="9" t="s">
        <v>144</v>
      </c>
      <c r="S92" s="9" t="s">
        <v>111</v>
      </c>
      <c r="T92" s="9" t="s">
        <v>112</v>
      </c>
      <c r="U92" s="9" t="s">
        <v>113</v>
      </c>
      <c r="V92" s="9" t="s">
        <v>114</v>
      </c>
      <c r="W92" s="9" t="s">
        <v>115</v>
      </c>
      <c r="X92" s="9" t="s">
        <v>116</v>
      </c>
      <c r="Y92" s="9" t="s">
        <v>117</v>
      </c>
      <c r="Z92" s="9" t="s">
        <v>118</v>
      </c>
      <c r="AA92" s="9" t="s">
        <v>145</v>
      </c>
      <c r="AB92" s="9" t="s">
        <v>122</v>
      </c>
      <c r="AC92" s="9" t="s">
        <v>146</v>
      </c>
      <c r="AD92" s="9" t="s">
        <v>121</v>
      </c>
      <c r="AE92" s="9" t="s">
        <v>122</v>
      </c>
      <c r="AF92" s="9" t="s">
        <v>122</v>
      </c>
      <c r="AG92" s="9" t="s">
        <v>109</v>
      </c>
      <c r="AH92" s="9" t="s">
        <v>122</v>
      </c>
      <c r="AI92" s="9" t="s">
        <v>109</v>
      </c>
      <c r="AJ92" s="9" t="s">
        <v>109</v>
      </c>
      <c r="AK92" s="9" t="s">
        <v>1695</v>
      </c>
      <c r="AL92" s="9" t="s">
        <v>1696</v>
      </c>
      <c r="AM92" s="9" t="s">
        <v>1697</v>
      </c>
      <c r="AN92" s="9" t="s">
        <v>1698</v>
      </c>
      <c r="AO92" s="9" t="s">
        <v>1666</v>
      </c>
      <c r="AP92" s="9" t="s">
        <v>1699</v>
      </c>
      <c r="AQ92" s="9" t="s">
        <v>1700</v>
      </c>
      <c r="AR92" s="10" t="s">
        <v>130</v>
      </c>
      <c r="AS92" s="10" t="n">
        <v>4</v>
      </c>
      <c r="AT92" s="10" t="n">
        <v>4</v>
      </c>
      <c r="AU92" s="10" t="n">
        <v>4</v>
      </c>
      <c r="AV92" s="10" t="n">
        <v>4</v>
      </c>
      <c r="AW92" s="10" t="n">
        <v>3</v>
      </c>
      <c r="AX92" s="9" t="s">
        <v>1701</v>
      </c>
    </row>
    <row r="93" customFormat="false" ht="60" hidden="false" customHeight="true" outlineLevel="0" collapsed="false">
      <c r="A93" s="9" t="s">
        <v>1702</v>
      </c>
      <c r="B93" s="9" t="s">
        <v>1703</v>
      </c>
      <c r="C93" s="9" t="s">
        <v>41</v>
      </c>
      <c r="D93" s="9" t="s">
        <v>1704</v>
      </c>
      <c r="E93" s="9" t="s">
        <v>1705</v>
      </c>
      <c r="F93" s="9" t="s">
        <v>1706</v>
      </c>
      <c r="G93" s="9" t="s">
        <v>1707</v>
      </c>
      <c r="H93" s="9" t="s">
        <v>7</v>
      </c>
      <c r="I93" s="9" t="s">
        <v>102</v>
      </c>
      <c r="J93" s="9" t="s">
        <v>28</v>
      </c>
      <c r="K93" s="9" t="s">
        <v>138</v>
      </c>
      <c r="L93" s="9" t="s">
        <v>139</v>
      </c>
      <c r="M93" s="9" t="s">
        <v>1708</v>
      </c>
      <c r="N93" s="9" t="s">
        <v>1709</v>
      </c>
      <c r="O93" s="9" t="s">
        <v>1710</v>
      </c>
      <c r="P93" s="9" t="s">
        <v>459</v>
      </c>
      <c r="Q93" s="9" t="s">
        <v>122</v>
      </c>
      <c r="R93" s="9" t="s">
        <v>144</v>
      </c>
      <c r="S93" s="9" t="s">
        <v>111</v>
      </c>
      <c r="T93" s="9" t="s">
        <v>112</v>
      </c>
      <c r="U93" s="9" t="s">
        <v>113</v>
      </c>
      <c r="V93" s="9" t="s">
        <v>114</v>
      </c>
      <c r="W93" s="9" t="s">
        <v>115</v>
      </c>
      <c r="X93" s="9" t="s">
        <v>116</v>
      </c>
      <c r="Y93" s="9" t="s">
        <v>117</v>
      </c>
      <c r="Z93" s="9" t="s">
        <v>118</v>
      </c>
      <c r="AA93" s="9" t="s">
        <v>145</v>
      </c>
      <c r="AB93" s="9" t="s">
        <v>122</v>
      </c>
      <c r="AC93" s="9" t="s">
        <v>146</v>
      </c>
      <c r="AD93" s="9" t="s">
        <v>121</v>
      </c>
      <c r="AE93" s="9" t="s">
        <v>122</v>
      </c>
      <c r="AF93" s="9" t="s">
        <v>122</v>
      </c>
      <c r="AG93" s="9" t="s">
        <v>109</v>
      </c>
      <c r="AH93" s="9" t="s">
        <v>122</v>
      </c>
      <c r="AI93" s="9" t="s">
        <v>109</v>
      </c>
      <c r="AJ93" s="9" t="s">
        <v>109</v>
      </c>
      <c r="AK93" s="9" t="s">
        <v>1711</v>
      </c>
      <c r="AL93" s="9" t="s">
        <v>1712</v>
      </c>
      <c r="AM93" s="9" t="s">
        <v>1713</v>
      </c>
      <c r="AN93" s="9" t="s">
        <v>1714</v>
      </c>
      <c r="AO93" s="9" t="s">
        <v>1666</v>
      </c>
      <c r="AP93" s="9" t="s">
        <v>1715</v>
      </c>
      <c r="AQ93" s="9" t="s">
        <v>1716</v>
      </c>
      <c r="AR93" s="10" t="s">
        <v>130</v>
      </c>
      <c r="AS93" s="10" t="n">
        <v>5</v>
      </c>
      <c r="AT93" s="10" t="n">
        <v>4</v>
      </c>
      <c r="AU93" s="10" t="n">
        <v>5</v>
      </c>
      <c r="AV93" s="10" t="n">
        <v>3</v>
      </c>
      <c r="AW93" s="10" t="n">
        <v>2</v>
      </c>
      <c r="AX93" s="9" t="s">
        <v>1717</v>
      </c>
    </row>
    <row r="94" customFormat="false" ht="60" hidden="false" customHeight="true" outlineLevel="0" collapsed="false">
      <c r="A94" s="9" t="s">
        <v>1718</v>
      </c>
      <c r="B94" s="9" t="s">
        <v>1719</v>
      </c>
      <c r="C94" s="9" t="s">
        <v>21</v>
      </c>
      <c r="D94" s="9" t="s">
        <v>1720</v>
      </c>
      <c r="E94" s="9" t="s">
        <v>1721</v>
      </c>
      <c r="F94" s="9" t="s">
        <v>1722</v>
      </c>
      <c r="G94" s="9" t="s">
        <v>1723</v>
      </c>
      <c r="H94" s="9" t="s">
        <v>9</v>
      </c>
      <c r="I94" s="9" t="s">
        <v>160</v>
      </c>
      <c r="J94" s="9" t="s">
        <v>28</v>
      </c>
      <c r="K94" s="9" t="s">
        <v>138</v>
      </c>
      <c r="L94" s="9" t="s">
        <v>139</v>
      </c>
      <c r="M94" s="9" t="s">
        <v>1724</v>
      </c>
      <c r="N94" s="9" t="s">
        <v>1725</v>
      </c>
      <c r="O94" s="9" t="s">
        <v>1076</v>
      </c>
      <c r="P94" s="9" t="s">
        <v>1726</v>
      </c>
      <c r="Q94" s="9" t="s">
        <v>109</v>
      </c>
      <c r="R94" s="9" t="s">
        <v>144</v>
      </c>
      <c r="S94" s="9" t="s">
        <v>168</v>
      </c>
      <c r="T94" s="9" t="s">
        <v>169</v>
      </c>
      <c r="U94" s="9" t="s">
        <v>113</v>
      </c>
      <c r="V94" s="9" t="s">
        <v>114</v>
      </c>
      <c r="W94" s="9" t="s">
        <v>115</v>
      </c>
      <c r="X94" s="9" t="s">
        <v>116</v>
      </c>
      <c r="Y94" s="9" t="s">
        <v>117</v>
      </c>
      <c r="Z94" s="9" t="s">
        <v>118</v>
      </c>
      <c r="AA94" s="9" t="s">
        <v>145</v>
      </c>
      <c r="AB94" s="9" t="s">
        <v>122</v>
      </c>
      <c r="AC94" s="9" t="s">
        <v>146</v>
      </c>
      <c r="AD94" s="9" t="s">
        <v>121</v>
      </c>
      <c r="AE94" s="9" t="s">
        <v>122</v>
      </c>
      <c r="AF94" s="9" t="s">
        <v>122</v>
      </c>
      <c r="AG94" s="9" t="s">
        <v>109</v>
      </c>
      <c r="AH94" s="9" t="s">
        <v>122</v>
      </c>
      <c r="AI94" s="9" t="s">
        <v>109</v>
      </c>
      <c r="AJ94" s="9" t="s">
        <v>109</v>
      </c>
      <c r="AK94" s="9" t="s">
        <v>1727</v>
      </c>
      <c r="AL94" s="9" t="s">
        <v>1728</v>
      </c>
      <c r="AM94" s="9" t="s">
        <v>1729</v>
      </c>
      <c r="AN94" s="9" t="s">
        <v>1730</v>
      </c>
      <c r="AO94" s="9" t="s">
        <v>1731</v>
      </c>
      <c r="AP94" s="9" t="s">
        <v>1732</v>
      </c>
      <c r="AQ94" s="9" t="s">
        <v>1733</v>
      </c>
      <c r="AR94" s="10" t="s">
        <v>177</v>
      </c>
      <c r="AS94" s="10" t="n">
        <v>7</v>
      </c>
      <c r="AT94" s="10" t="n">
        <v>5</v>
      </c>
      <c r="AU94" s="10" t="n">
        <v>5</v>
      </c>
      <c r="AV94" s="10" t="n">
        <v>4</v>
      </c>
      <c r="AW94" s="10" t="n">
        <v>3</v>
      </c>
      <c r="AX94" s="9" t="s">
        <v>1734</v>
      </c>
    </row>
    <row r="95" customFormat="false" ht="60" hidden="false" customHeight="true" outlineLevel="0" collapsed="false">
      <c r="A95" s="9" t="s">
        <v>1735</v>
      </c>
      <c r="B95" s="9" t="s">
        <v>1736</v>
      </c>
      <c r="C95" s="9" t="s">
        <v>21</v>
      </c>
      <c r="D95" s="9" t="s">
        <v>1737</v>
      </c>
      <c r="E95" s="9" t="s">
        <v>1738</v>
      </c>
      <c r="F95" s="9" t="s">
        <v>1739</v>
      </c>
      <c r="G95" s="9" t="s">
        <v>1740</v>
      </c>
      <c r="H95" s="9" t="s">
        <v>9</v>
      </c>
      <c r="I95" s="9" t="s">
        <v>160</v>
      </c>
      <c r="J95" s="9" t="s">
        <v>28</v>
      </c>
      <c r="K95" s="9" t="s">
        <v>138</v>
      </c>
      <c r="L95" s="9" t="s">
        <v>139</v>
      </c>
      <c r="M95" s="9" t="s">
        <v>1741</v>
      </c>
      <c r="N95" s="9" t="s">
        <v>1742</v>
      </c>
      <c r="O95" s="9" t="s">
        <v>1743</v>
      </c>
      <c r="P95" s="9" t="s">
        <v>1744</v>
      </c>
      <c r="Q95" s="9" t="s">
        <v>235</v>
      </c>
      <c r="R95" s="9" t="s">
        <v>144</v>
      </c>
      <c r="S95" s="9" t="s">
        <v>168</v>
      </c>
      <c r="T95" s="9" t="s">
        <v>169</v>
      </c>
      <c r="U95" s="9" t="s">
        <v>113</v>
      </c>
      <c r="V95" s="9" t="s">
        <v>114</v>
      </c>
      <c r="W95" s="9" t="s">
        <v>115</v>
      </c>
      <c r="X95" s="9" t="s">
        <v>116</v>
      </c>
      <c r="Y95" s="9" t="s">
        <v>117</v>
      </c>
      <c r="Z95" s="9" t="s">
        <v>118</v>
      </c>
      <c r="AA95" s="9" t="s">
        <v>145</v>
      </c>
      <c r="AB95" s="9" t="s">
        <v>122</v>
      </c>
      <c r="AC95" s="9" t="s">
        <v>146</v>
      </c>
      <c r="AD95" s="9" t="s">
        <v>121</v>
      </c>
      <c r="AE95" s="9" t="s">
        <v>122</v>
      </c>
      <c r="AF95" s="9" t="s">
        <v>122</v>
      </c>
      <c r="AG95" s="9" t="s">
        <v>109</v>
      </c>
      <c r="AH95" s="9" t="s">
        <v>122</v>
      </c>
      <c r="AI95" s="9" t="s">
        <v>109</v>
      </c>
      <c r="AJ95" s="9" t="s">
        <v>109</v>
      </c>
      <c r="AK95" s="9" t="s">
        <v>1745</v>
      </c>
      <c r="AL95" s="9" t="s">
        <v>1746</v>
      </c>
      <c r="AM95" s="9" t="s">
        <v>1747</v>
      </c>
      <c r="AN95" s="9" t="s">
        <v>1748</v>
      </c>
      <c r="AO95" s="9" t="s">
        <v>1731</v>
      </c>
      <c r="AP95" s="9" t="s">
        <v>1749</v>
      </c>
      <c r="AQ95" s="9" t="s">
        <v>1750</v>
      </c>
      <c r="AR95" s="10" t="s">
        <v>177</v>
      </c>
      <c r="AS95" s="10" t="n">
        <v>6</v>
      </c>
      <c r="AT95" s="10" t="n">
        <v>5</v>
      </c>
      <c r="AU95" s="10" t="n">
        <v>7</v>
      </c>
      <c r="AV95" s="10" t="n">
        <v>5</v>
      </c>
      <c r="AW95" s="10" t="n">
        <v>5</v>
      </c>
      <c r="AX95" s="9" t="s">
        <v>1751</v>
      </c>
    </row>
    <row r="96" customFormat="false" ht="60" hidden="false" customHeight="true" outlineLevel="0" collapsed="false">
      <c r="A96" s="9" t="s">
        <v>1752</v>
      </c>
      <c r="B96" s="9" t="s">
        <v>1753</v>
      </c>
      <c r="C96" s="9" t="s">
        <v>21</v>
      </c>
      <c r="D96" s="9" t="s">
        <v>1754</v>
      </c>
      <c r="E96" s="9" t="s">
        <v>1755</v>
      </c>
      <c r="F96" s="9" t="s">
        <v>1756</v>
      </c>
      <c r="G96" s="9" t="s">
        <v>1757</v>
      </c>
      <c r="H96" s="9" t="s">
        <v>11</v>
      </c>
      <c r="I96" s="9" t="s">
        <v>202</v>
      </c>
      <c r="J96" s="9" t="s">
        <v>28</v>
      </c>
      <c r="K96" s="9" t="s">
        <v>138</v>
      </c>
      <c r="L96" s="9" t="s">
        <v>139</v>
      </c>
      <c r="M96" s="9" t="s">
        <v>1758</v>
      </c>
      <c r="N96" s="9" t="s">
        <v>1759</v>
      </c>
      <c r="O96" s="9" t="s">
        <v>1760</v>
      </c>
      <c r="P96" s="9" t="s">
        <v>1761</v>
      </c>
      <c r="Q96" s="9" t="s">
        <v>122</v>
      </c>
      <c r="R96" s="9" t="s">
        <v>144</v>
      </c>
      <c r="S96" s="9" t="s">
        <v>209</v>
      </c>
      <c r="T96" s="9" t="s">
        <v>210</v>
      </c>
      <c r="U96" s="9" t="s">
        <v>113</v>
      </c>
      <c r="V96" s="9" t="s">
        <v>114</v>
      </c>
      <c r="W96" s="9" t="s">
        <v>211</v>
      </c>
      <c r="X96" s="9" t="s">
        <v>116</v>
      </c>
      <c r="Y96" s="9" t="s">
        <v>212</v>
      </c>
      <c r="Z96" s="9" t="s">
        <v>213</v>
      </c>
      <c r="AA96" s="9" t="s">
        <v>145</v>
      </c>
      <c r="AB96" s="9" t="s">
        <v>122</v>
      </c>
      <c r="AC96" s="9" t="s">
        <v>146</v>
      </c>
      <c r="AD96" s="9" t="s">
        <v>215</v>
      </c>
      <c r="AE96" s="9" t="s">
        <v>122</v>
      </c>
      <c r="AF96" s="9" t="s">
        <v>122</v>
      </c>
      <c r="AG96" s="9" t="s">
        <v>109</v>
      </c>
      <c r="AH96" s="9" t="s">
        <v>122</v>
      </c>
      <c r="AI96" s="9" t="s">
        <v>109</v>
      </c>
      <c r="AJ96" s="9" t="s">
        <v>109</v>
      </c>
      <c r="AK96" s="9" t="s">
        <v>1762</v>
      </c>
      <c r="AL96" s="9" t="s">
        <v>1763</v>
      </c>
      <c r="AM96" s="9" t="s">
        <v>1764</v>
      </c>
      <c r="AN96" s="9" t="s">
        <v>1765</v>
      </c>
      <c r="AO96" s="9" t="s">
        <v>1731</v>
      </c>
      <c r="AP96" s="9" t="s">
        <v>1766</v>
      </c>
      <c r="AQ96" s="9" t="s">
        <v>1767</v>
      </c>
      <c r="AR96" s="10" t="s">
        <v>223</v>
      </c>
      <c r="AS96" s="10" t="n">
        <v>8</v>
      </c>
      <c r="AT96" s="10" t="n">
        <v>9</v>
      </c>
      <c r="AU96" s="10" t="n">
        <v>8</v>
      </c>
      <c r="AV96" s="10" t="n">
        <v>6</v>
      </c>
      <c r="AW96" s="10" t="n">
        <v>5</v>
      </c>
      <c r="AX96" s="9" t="s">
        <v>1768</v>
      </c>
    </row>
    <row r="97" customFormat="false" ht="60" hidden="false" customHeight="true" outlineLevel="0" collapsed="false">
      <c r="A97" s="9" t="s">
        <v>1769</v>
      </c>
      <c r="B97" s="9" t="s">
        <v>1770</v>
      </c>
      <c r="C97" s="9" t="s">
        <v>21</v>
      </c>
      <c r="D97" s="9" t="s">
        <v>1771</v>
      </c>
      <c r="E97" s="9" t="s">
        <v>1772</v>
      </c>
      <c r="F97" s="9" t="s">
        <v>1773</v>
      </c>
      <c r="G97" s="9" t="s">
        <v>1774</v>
      </c>
      <c r="H97" s="9" t="s">
        <v>11</v>
      </c>
      <c r="I97" s="9" t="s">
        <v>202</v>
      </c>
      <c r="J97" s="9" t="s">
        <v>28</v>
      </c>
      <c r="K97" s="9" t="s">
        <v>138</v>
      </c>
      <c r="L97" s="9" t="s">
        <v>139</v>
      </c>
      <c r="M97" s="9" t="s">
        <v>1775</v>
      </c>
      <c r="N97" s="9" t="s">
        <v>1776</v>
      </c>
      <c r="O97" s="9" t="s">
        <v>1777</v>
      </c>
      <c r="P97" s="9" t="s">
        <v>1778</v>
      </c>
      <c r="Q97" s="9" t="s">
        <v>109</v>
      </c>
      <c r="R97" s="9" t="s">
        <v>144</v>
      </c>
      <c r="S97" s="9" t="s">
        <v>209</v>
      </c>
      <c r="T97" s="9" t="s">
        <v>210</v>
      </c>
      <c r="U97" s="9" t="s">
        <v>113</v>
      </c>
      <c r="V97" s="9" t="s">
        <v>114</v>
      </c>
      <c r="W97" s="9" t="s">
        <v>211</v>
      </c>
      <c r="X97" s="9" t="s">
        <v>116</v>
      </c>
      <c r="Y97" s="9" t="s">
        <v>212</v>
      </c>
      <c r="Z97" s="9" t="s">
        <v>213</v>
      </c>
      <c r="AA97" s="9" t="s">
        <v>145</v>
      </c>
      <c r="AB97" s="9" t="s">
        <v>122</v>
      </c>
      <c r="AC97" s="9" t="s">
        <v>146</v>
      </c>
      <c r="AD97" s="9" t="s">
        <v>215</v>
      </c>
      <c r="AE97" s="9" t="s">
        <v>122</v>
      </c>
      <c r="AF97" s="9" t="s">
        <v>122</v>
      </c>
      <c r="AG97" s="9" t="s">
        <v>109</v>
      </c>
      <c r="AH97" s="9" t="s">
        <v>122</v>
      </c>
      <c r="AI97" s="9" t="s">
        <v>109</v>
      </c>
      <c r="AJ97" s="9" t="s">
        <v>109</v>
      </c>
      <c r="AK97" s="9" t="s">
        <v>1779</v>
      </c>
      <c r="AL97" s="9" t="s">
        <v>1780</v>
      </c>
      <c r="AM97" s="9" t="s">
        <v>1781</v>
      </c>
      <c r="AN97" s="9" t="s">
        <v>1782</v>
      </c>
      <c r="AO97" s="9" t="s">
        <v>1731</v>
      </c>
      <c r="AP97" s="9" t="s">
        <v>1783</v>
      </c>
      <c r="AQ97" s="9" t="s">
        <v>1784</v>
      </c>
      <c r="AR97" s="10" t="s">
        <v>223</v>
      </c>
      <c r="AS97" s="10" t="n">
        <v>7</v>
      </c>
      <c r="AT97" s="10" t="n">
        <v>8</v>
      </c>
      <c r="AU97" s="10" t="n">
        <v>7</v>
      </c>
      <c r="AV97" s="10" t="n">
        <v>8</v>
      </c>
      <c r="AW97" s="10" t="n">
        <v>5</v>
      </c>
      <c r="AX97" s="9" t="s">
        <v>1785</v>
      </c>
    </row>
    <row r="98" customFormat="false" ht="60" hidden="false" customHeight="true" outlineLevel="0" collapsed="false">
      <c r="A98" s="9" t="s">
        <v>1786</v>
      </c>
      <c r="B98" s="9" t="s">
        <v>1787</v>
      </c>
      <c r="C98" s="9" t="s">
        <v>42</v>
      </c>
      <c r="D98" s="9" t="s">
        <v>1788</v>
      </c>
      <c r="E98" s="9" t="s">
        <v>1789</v>
      </c>
      <c r="F98" s="9" t="s">
        <v>1790</v>
      </c>
      <c r="G98" s="9" t="s">
        <v>1791</v>
      </c>
      <c r="H98" s="9" t="s">
        <v>11</v>
      </c>
      <c r="I98" s="9" t="s">
        <v>202</v>
      </c>
      <c r="J98" s="9" t="s">
        <v>24</v>
      </c>
      <c r="K98" s="9" t="s">
        <v>434</v>
      </c>
      <c r="L98" s="9" t="s">
        <v>435</v>
      </c>
      <c r="M98" s="9" t="s">
        <v>1792</v>
      </c>
      <c r="N98" s="9" t="s">
        <v>1793</v>
      </c>
      <c r="O98" s="9" t="s">
        <v>1794</v>
      </c>
      <c r="P98" s="9" t="s">
        <v>1795</v>
      </c>
      <c r="Q98" s="9" t="s">
        <v>122</v>
      </c>
      <c r="R98" s="9" t="s">
        <v>440</v>
      </c>
      <c r="S98" s="9" t="s">
        <v>209</v>
      </c>
      <c r="T98" s="9" t="s">
        <v>210</v>
      </c>
      <c r="U98" s="9" t="s">
        <v>113</v>
      </c>
      <c r="V98" s="9" t="s">
        <v>114</v>
      </c>
      <c r="W98" s="9" t="s">
        <v>211</v>
      </c>
      <c r="X98" s="9" t="s">
        <v>116</v>
      </c>
      <c r="Y98" s="9" t="s">
        <v>212</v>
      </c>
      <c r="Z98" s="9" t="s">
        <v>213</v>
      </c>
      <c r="AA98" s="9" t="s">
        <v>145</v>
      </c>
      <c r="AB98" s="9" t="s">
        <v>122</v>
      </c>
      <c r="AC98" s="9" t="s">
        <v>441</v>
      </c>
      <c r="AD98" s="9" t="s">
        <v>215</v>
      </c>
      <c r="AE98" s="9" t="s">
        <v>122</v>
      </c>
      <c r="AF98" s="9" t="s">
        <v>122</v>
      </c>
      <c r="AG98" s="9" t="s">
        <v>122</v>
      </c>
      <c r="AH98" s="9" t="s">
        <v>122</v>
      </c>
      <c r="AI98" s="9" t="s">
        <v>109</v>
      </c>
      <c r="AJ98" s="9" t="s">
        <v>109</v>
      </c>
      <c r="AK98" s="9" t="s">
        <v>1796</v>
      </c>
      <c r="AL98" s="9" t="s">
        <v>1797</v>
      </c>
      <c r="AM98" s="9" t="s">
        <v>1798</v>
      </c>
      <c r="AN98" s="9" t="s">
        <v>1799</v>
      </c>
      <c r="AO98" s="9" t="s">
        <v>1800</v>
      </c>
      <c r="AP98" s="9" t="s">
        <v>1801</v>
      </c>
      <c r="AQ98" s="9" t="s">
        <v>1802</v>
      </c>
      <c r="AR98" s="10" t="s">
        <v>223</v>
      </c>
      <c r="AS98" s="10" t="n">
        <v>8</v>
      </c>
      <c r="AT98" s="10" t="n">
        <v>9</v>
      </c>
      <c r="AU98" s="10" t="n">
        <v>8</v>
      </c>
      <c r="AV98" s="10" t="n">
        <v>7</v>
      </c>
      <c r="AW98" s="10" t="n">
        <v>7</v>
      </c>
      <c r="AX98" s="9" t="s">
        <v>1803</v>
      </c>
    </row>
    <row r="99" customFormat="false" ht="60" hidden="false" customHeight="true" outlineLevel="0" collapsed="false">
      <c r="A99" s="9" t="s">
        <v>1804</v>
      </c>
      <c r="B99" s="9" t="s">
        <v>1805</v>
      </c>
      <c r="C99" s="9" t="s">
        <v>42</v>
      </c>
      <c r="D99" s="9" t="s">
        <v>1806</v>
      </c>
      <c r="E99" s="9" t="s">
        <v>1807</v>
      </c>
      <c r="F99" s="9" t="s">
        <v>1808</v>
      </c>
      <c r="G99" s="9" t="s">
        <v>1809</v>
      </c>
      <c r="H99" s="9" t="s">
        <v>13</v>
      </c>
      <c r="I99" s="9" t="s">
        <v>267</v>
      </c>
      <c r="J99" s="9" t="s">
        <v>30</v>
      </c>
      <c r="K99" s="9" t="s">
        <v>103</v>
      </c>
      <c r="L99" s="9" t="s">
        <v>203</v>
      </c>
      <c r="M99" s="9" t="s">
        <v>1810</v>
      </c>
      <c r="N99" s="9" t="s">
        <v>1811</v>
      </c>
      <c r="O99" s="9" t="s">
        <v>1812</v>
      </c>
      <c r="P99" s="9" t="s">
        <v>1813</v>
      </c>
      <c r="Q99" s="9" t="s">
        <v>122</v>
      </c>
      <c r="R99" s="9" t="s">
        <v>110</v>
      </c>
      <c r="S99" s="9" t="s">
        <v>272</v>
      </c>
      <c r="T99" s="9" t="s">
        <v>273</v>
      </c>
      <c r="U99" s="9" t="s">
        <v>113</v>
      </c>
      <c r="V99" s="9" t="s">
        <v>274</v>
      </c>
      <c r="W99" s="9" t="s">
        <v>211</v>
      </c>
      <c r="X99" s="9" t="s">
        <v>116</v>
      </c>
      <c r="Y99" s="9" t="s">
        <v>212</v>
      </c>
      <c r="Z99" s="9" t="s">
        <v>213</v>
      </c>
      <c r="AA99" s="9" t="s">
        <v>119</v>
      </c>
      <c r="AB99" s="9" t="s">
        <v>109</v>
      </c>
      <c r="AC99" s="9" t="s">
        <v>214</v>
      </c>
      <c r="AD99" s="9" t="s">
        <v>215</v>
      </c>
      <c r="AE99" s="9" t="s">
        <v>109</v>
      </c>
      <c r="AF99" s="9" t="s">
        <v>122</v>
      </c>
      <c r="AG99" s="9" t="s">
        <v>122</v>
      </c>
      <c r="AH99" s="9" t="s">
        <v>122</v>
      </c>
      <c r="AI99" s="9" t="s">
        <v>109</v>
      </c>
      <c r="AJ99" s="9" t="s">
        <v>109</v>
      </c>
      <c r="AK99" s="9" t="s">
        <v>1814</v>
      </c>
      <c r="AL99" s="9" t="s">
        <v>1815</v>
      </c>
      <c r="AM99" s="9" t="s">
        <v>1816</v>
      </c>
      <c r="AN99" s="9" t="s">
        <v>1817</v>
      </c>
      <c r="AO99" s="9" t="s">
        <v>1800</v>
      </c>
      <c r="AP99" s="9" t="s">
        <v>367</v>
      </c>
      <c r="AQ99" s="9" t="s">
        <v>1818</v>
      </c>
      <c r="AR99" s="10" t="s">
        <v>281</v>
      </c>
      <c r="AS99" s="10" t="n">
        <v>9</v>
      </c>
      <c r="AT99" s="10" t="n">
        <v>9</v>
      </c>
      <c r="AU99" s="10" t="n">
        <v>9</v>
      </c>
      <c r="AV99" s="10" t="n">
        <v>8</v>
      </c>
      <c r="AW99" s="10" t="n">
        <v>9</v>
      </c>
      <c r="AX99" s="9" t="s">
        <v>1819</v>
      </c>
    </row>
    <row r="100" customFormat="false" ht="60" hidden="false" customHeight="true" outlineLevel="0" collapsed="false">
      <c r="A100" s="9" t="s">
        <v>1820</v>
      </c>
      <c r="B100" s="9" t="s">
        <v>1821</v>
      </c>
      <c r="C100" s="9" t="s">
        <v>42</v>
      </c>
      <c r="D100" s="9" t="s">
        <v>1822</v>
      </c>
      <c r="E100" s="9" t="s">
        <v>1823</v>
      </c>
      <c r="F100" s="9" t="s">
        <v>1824</v>
      </c>
      <c r="G100" s="9" t="s">
        <v>1825</v>
      </c>
      <c r="H100" s="9" t="s">
        <v>13</v>
      </c>
      <c r="I100" s="9" t="s">
        <v>267</v>
      </c>
      <c r="J100" s="9" t="s">
        <v>26</v>
      </c>
      <c r="K100" s="9" t="s">
        <v>161</v>
      </c>
      <c r="L100" s="9" t="s">
        <v>162</v>
      </c>
      <c r="M100" s="9" t="s">
        <v>1826</v>
      </c>
      <c r="N100" s="9" t="s">
        <v>1827</v>
      </c>
      <c r="O100" s="9" t="s">
        <v>1828</v>
      </c>
      <c r="P100" s="9" t="s">
        <v>1829</v>
      </c>
      <c r="Q100" s="9" t="s">
        <v>122</v>
      </c>
      <c r="R100" s="9" t="s">
        <v>167</v>
      </c>
      <c r="S100" s="9" t="s">
        <v>272</v>
      </c>
      <c r="T100" s="9" t="s">
        <v>273</v>
      </c>
      <c r="U100" s="9" t="s">
        <v>113</v>
      </c>
      <c r="V100" s="9" t="s">
        <v>274</v>
      </c>
      <c r="W100" s="9" t="s">
        <v>211</v>
      </c>
      <c r="X100" s="9" t="s">
        <v>116</v>
      </c>
      <c r="Y100" s="9" t="s">
        <v>212</v>
      </c>
      <c r="Z100" s="9" t="s">
        <v>213</v>
      </c>
      <c r="AA100" s="9" t="s">
        <v>119</v>
      </c>
      <c r="AB100" s="9" t="s">
        <v>109</v>
      </c>
      <c r="AC100" s="9" t="s">
        <v>170</v>
      </c>
      <c r="AD100" s="9" t="s">
        <v>215</v>
      </c>
      <c r="AE100" s="9" t="s">
        <v>122</v>
      </c>
      <c r="AF100" s="9" t="s">
        <v>109</v>
      </c>
      <c r="AG100" s="9" t="s">
        <v>122</v>
      </c>
      <c r="AH100" s="9" t="s">
        <v>122</v>
      </c>
      <c r="AI100" s="9" t="s">
        <v>109</v>
      </c>
      <c r="AJ100" s="9" t="s">
        <v>109</v>
      </c>
      <c r="AK100" s="9" t="s">
        <v>1830</v>
      </c>
      <c r="AL100" s="9" t="s">
        <v>1831</v>
      </c>
      <c r="AM100" s="9" t="s">
        <v>1832</v>
      </c>
      <c r="AN100" s="9" t="s">
        <v>1833</v>
      </c>
      <c r="AO100" s="9" t="s">
        <v>1800</v>
      </c>
      <c r="AP100" s="9" t="s">
        <v>1834</v>
      </c>
      <c r="AQ100" s="9" t="s">
        <v>1835</v>
      </c>
      <c r="AR100" s="10" t="s">
        <v>281</v>
      </c>
      <c r="AS100" s="10" t="n">
        <v>10</v>
      </c>
      <c r="AT100" s="10" t="n">
        <v>8</v>
      </c>
      <c r="AU100" s="10" t="n">
        <v>9</v>
      </c>
      <c r="AV100" s="10" t="n">
        <v>10</v>
      </c>
      <c r="AW100" s="10" t="n">
        <v>8</v>
      </c>
      <c r="AX100" s="9" t="s">
        <v>1836</v>
      </c>
    </row>
    <row r="101" customFormat="false" ht="60" hidden="false" customHeight="true" outlineLevel="0" collapsed="false">
      <c r="A101" s="9" t="s">
        <v>1837</v>
      </c>
      <c r="B101" s="9" t="s">
        <v>1838</v>
      </c>
      <c r="C101" s="9" t="s">
        <v>42</v>
      </c>
      <c r="D101" s="9" t="s">
        <v>1839</v>
      </c>
      <c r="E101" s="9" t="s">
        <v>1840</v>
      </c>
      <c r="F101" s="9" t="s">
        <v>1841</v>
      </c>
      <c r="G101" s="9" t="s">
        <v>1842</v>
      </c>
      <c r="H101" s="9" t="s">
        <v>13</v>
      </c>
      <c r="I101" s="9" t="s">
        <v>267</v>
      </c>
      <c r="J101" s="9" t="s">
        <v>24</v>
      </c>
      <c r="K101" s="9" t="s">
        <v>434</v>
      </c>
      <c r="L101" s="9" t="s">
        <v>435</v>
      </c>
      <c r="M101" s="9" t="s">
        <v>1843</v>
      </c>
      <c r="N101" s="9" t="s">
        <v>1844</v>
      </c>
      <c r="O101" s="9" t="s">
        <v>1845</v>
      </c>
      <c r="P101" s="9" t="s">
        <v>1846</v>
      </c>
      <c r="Q101" s="9" t="s">
        <v>122</v>
      </c>
      <c r="R101" s="9" t="s">
        <v>440</v>
      </c>
      <c r="S101" s="9" t="s">
        <v>272</v>
      </c>
      <c r="T101" s="9" t="s">
        <v>273</v>
      </c>
      <c r="U101" s="9" t="s">
        <v>113</v>
      </c>
      <c r="V101" s="9" t="s">
        <v>274</v>
      </c>
      <c r="W101" s="9" t="s">
        <v>211</v>
      </c>
      <c r="X101" s="9" t="s">
        <v>116</v>
      </c>
      <c r="Y101" s="9" t="s">
        <v>212</v>
      </c>
      <c r="Z101" s="9" t="s">
        <v>213</v>
      </c>
      <c r="AA101" s="9" t="s">
        <v>145</v>
      </c>
      <c r="AB101" s="9" t="s">
        <v>122</v>
      </c>
      <c r="AC101" s="9" t="s">
        <v>441</v>
      </c>
      <c r="AD101" s="9" t="s">
        <v>215</v>
      </c>
      <c r="AE101" s="9" t="s">
        <v>122</v>
      </c>
      <c r="AF101" s="9" t="s">
        <v>122</v>
      </c>
      <c r="AG101" s="9" t="s">
        <v>122</v>
      </c>
      <c r="AH101" s="9" t="s">
        <v>122</v>
      </c>
      <c r="AI101" s="9" t="s">
        <v>109</v>
      </c>
      <c r="AJ101" s="9" t="s">
        <v>109</v>
      </c>
      <c r="AK101" s="9" t="s">
        <v>1847</v>
      </c>
      <c r="AL101" s="9" t="s">
        <v>1848</v>
      </c>
      <c r="AM101" s="9" t="s">
        <v>1849</v>
      </c>
      <c r="AN101" s="9" t="s">
        <v>1850</v>
      </c>
      <c r="AO101" s="9" t="s">
        <v>1800</v>
      </c>
      <c r="AP101" s="9" t="s">
        <v>1851</v>
      </c>
      <c r="AQ101" s="9" t="s">
        <v>1852</v>
      </c>
      <c r="AR101" s="10" t="s">
        <v>281</v>
      </c>
      <c r="AS101" s="10" t="n">
        <v>8</v>
      </c>
      <c r="AT101" s="10" t="n">
        <v>8</v>
      </c>
      <c r="AU101" s="10" t="n">
        <v>9</v>
      </c>
      <c r="AV101" s="10" t="n">
        <v>10</v>
      </c>
      <c r="AW101" s="10" t="n">
        <v>8</v>
      </c>
      <c r="AX101" s="9" t="s">
        <v>1853</v>
      </c>
    </row>
  </sheetData>
  <autoFilter ref="A1:AX101"/>
  <conditionalFormatting sqref="H2:H101">
    <cfRule type="cellIs" priority="2" operator="equal" aboveAverage="0" equalAverage="0" bottom="0" percent="0" rank="0" text="" dxfId="23">
      <formula>"Beginner"</formula>
    </cfRule>
    <cfRule type="cellIs" priority="3" operator="equal" aboveAverage="0" equalAverage="0" bottom="0" percent="0" rank="0" text="" dxfId="24">
      <formula>"Intermediate"</formula>
    </cfRule>
    <cfRule type="cellIs" priority="4" operator="equal" aboveAverage="0" equalAverage="0" bottom="0" percent="0" rank="0" text="" dxfId="25">
      <formula>"Advanced"</formula>
    </cfRule>
    <cfRule type="cellIs" priority="5" operator="equal" aboveAverage="0" equalAverage="0" bottom="0" percent="0" rank="0" text="" dxfId="26">
      <formula>"Enterprise/Research"</formula>
    </cfRule>
  </conditionalFormatting>
  <conditionalFormatting sqref="AS2:AS10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10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U2:AU10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2:AV10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2:AW10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9">
    <dataValidation allowBlank="false" errorStyle="stop" operator="between" showDropDown="false" showErrorMessage="false" showInputMessage="false" sqref="H2:H101" type="list">
      <formula1>"Beginner,Intermediate,Advanced,Enterprise/Research"</formula1>
      <formula2>0</formula2>
    </dataValidation>
    <dataValidation allowBlank="false" errorStyle="stop" operator="between" showDropDown="false" showErrorMessage="false" showInputMessage="false" sqref="Q2:Q101" type="list">
      <formula1>"Yes,No,Partial"</formula1>
      <formula2>0</formula2>
    </dataValidation>
    <dataValidation allowBlank="false" errorStyle="stop" operator="between" showDropDown="false" showErrorMessage="false" showInputMessage="false" sqref="AB2:AB101" type="list">
      <formula1>"Yes,No"</formula1>
      <formula2>0</formula2>
    </dataValidation>
    <dataValidation allowBlank="false" errorStyle="stop" operator="between" showDropDown="false" showErrorMessage="false" showInputMessage="false" sqref="AE2:AE101" type="list">
      <formula1>"Yes,No"</formula1>
      <formula2>0</formula2>
    </dataValidation>
    <dataValidation allowBlank="false" errorStyle="stop" operator="between" showDropDown="false" showErrorMessage="false" showInputMessage="false" sqref="AF2:AF101" type="list">
      <formula1>"Yes,No"</formula1>
      <formula2>0</formula2>
    </dataValidation>
    <dataValidation allowBlank="false" errorStyle="stop" operator="between" showDropDown="false" showErrorMessage="false" showInputMessage="false" sqref="AG2:AG101" type="list">
      <formula1>"Yes,No"</formula1>
      <formula2>0</formula2>
    </dataValidation>
    <dataValidation allowBlank="false" errorStyle="stop" operator="between" showDropDown="false" showErrorMessage="false" showInputMessage="false" sqref="AH2:AH101" type="list">
      <formula1>"Yes,No"</formula1>
      <formula2>0</formula2>
    </dataValidation>
    <dataValidation allowBlank="false" errorStyle="stop" operator="between" showDropDown="false" showErrorMessage="false" showInputMessage="false" sqref="AI2:AI101" type="list">
      <formula1>"Yes,No"</formula1>
      <formula2>0</formula2>
    </dataValidation>
    <dataValidation allowBlank="false" errorStyle="stop" operator="between" showDropDown="false" showErrorMessage="false" showInputMessage="false" sqref="AJ2:AJ1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2026-07-10T10:02:59Z</dcterms:created>
  <dc:creator>openpyxl</dc:creator>
  <dc:description/>
  <dc:language>en-US</dc:language>
  <cp:lastModifiedBy/>
  <dcterms:modified xsi:type="dcterms:W3CDTF">2026-07-10T10:03:46Z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